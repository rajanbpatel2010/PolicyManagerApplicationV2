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C1D7F75-7CE0-4C27-B79D-77C600E2091A}" xr6:coauthVersionLast="36" xr6:coauthVersionMax="36" xr10:uidLastSave="{00000000-0000-0000-0000-000000000000}"/>
  <bookViews>
    <workbookView xWindow="0" yWindow="0" windowWidth="20490" windowHeight="7545" xr2:uid="{7621684C-33F5-425B-A5F3-DC7E9232AC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" i="1" l="1"/>
  <c r="AB2" i="1"/>
  <c r="AB76" i="1"/>
  <c r="Y76" i="1"/>
  <c r="AB75" i="1"/>
  <c r="Y75" i="1"/>
  <c r="AB74" i="1"/>
  <c r="Y74" i="1"/>
  <c r="U74" i="1"/>
  <c r="AB73" i="1"/>
  <c r="U73" i="1"/>
  <c r="R73" i="1"/>
  <c r="Y73" i="1" s="1"/>
  <c r="AB72" i="1"/>
  <c r="U72" i="1"/>
  <c r="R72" i="1"/>
  <c r="Y72" i="1" s="1"/>
  <c r="AB71" i="1"/>
  <c r="Y71" i="1"/>
  <c r="Y70" i="1"/>
  <c r="R69" i="1"/>
  <c r="Y69" i="1" s="1"/>
  <c r="AB68" i="1"/>
  <c r="Y68" i="1"/>
  <c r="AB67" i="1"/>
  <c r="U67" i="1"/>
  <c r="R67" i="1"/>
  <c r="Y67" i="1" s="1"/>
  <c r="AB66" i="1"/>
  <c r="Y66" i="1"/>
  <c r="AB65" i="1"/>
  <c r="Y65" i="1"/>
  <c r="AB64" i="1"/>
  <c r="Y64" i="1"/>
  <c r="AB63" i="1"/>
  <c r="Y63" i="1"/>
  <c r="U63" i="1"/>
  <c r="AB62" i="1"/>
  <c r="U62" i="1"/>
  <c r="R62" i="1"/>
  <c r="Y62" i="1" s="1"/>
  <c r="Y61" i="1"/>
  <c r="AB60" i="1"/>
  <c r="Y60" i="1"/>
  <c r="AB59" i="1"/>
  <c r="Y59" i="1"/>
  <c r="Y58" i="1"/>
  <c r="U58" i="1"/>
  <c r="AB57" i="1"/>
  <c r="Y57" i="1"/>
  <c r="U57" i="1"/>
  <c r="AB56" i="1"/>
  <c r="Y56" i="1"/>
  <c r="U56" i="1"/>
  <c r="AB55" i="1"/>
  <c r="Y55" i="1"/>
  <c r="AB54" i="1"/>
  <c r="Y54" i="1"/>
  <c r="AB53" i="1"/>
  <c r="Y53" i="1"/>
  <c r="AB52" i="1"/>
  <c r="U52" i="1"/>
  <c r="R52" i="1"/>
  <c r="Y52" i="1" s="1"/>
  <c r="AB51" i="1"/>
  <c r="AB50" i="1"/>
  <c r="Y50" i="1"/>
  <c r="AB49" i="1"/>
  <c r="Y49" i="1"/>
  <c r="U49" i="1"/>
  <c r="Y48" i="1"/>
  <c r="U48" i="1"/>
  <c r="AB47" i="1"/>
  <c r="AB46" i="1"/>
  <c r="U46" i="1"/>
  <c r="R46" i="1"/>
  <c r="Y46" i="1" s="1"/>
  <c r="AB45" i="1"/>
  <c r="U45" i="1"/>
  <c r="R45" i="1"/>
  <c r="Y45" i="1" s="1"/>
  <c r="AB44" i="1"/>
  <c r="U44" i="1"/>
  <c r="R44" i="1"/>
  <c r="Y44" i="1" s="1"/>
  <c r="AB43" i="1"/>
  <c r="Y43" i="1"/>
  <c r="AB42" i="1"/>
  <c r="Y42" i="1"/>
  <c r="AB41" i="1"/>
  <c r="Y41" i="1"/>
  <c r="AB40" i="1"/>
  <c r="Y40" i="1"/>
  <c r="U40" i="1"/>
  <c r="AB39" i="1"/>
  <c r="Y39" i="1"/>
  <c r="AB38" i="1"/>
  <c r="Y38" i="1"/>
  <c r="AB37" i="1"/>
  <c r="Y37" i="1"/>
  <c r="AB36" i="1"/>
  <c r="Y36" i="1"/>
  <c r="AB35" i="1"/>
  <c r="Y35" i="1"/>
  <c r="AB34" i="1"/>
  <c r="Y34" i="1"/>
  <c r="AB33" i="1"/>
  <c r="Y33" i="1"/>
  <c r="AB32" i="1"/>
  <c r="Y32" i="1"/>
  <c r="AB31" i="1"/>
  <c r="Y31" i="1"/>
  <c r="AB30" i="1"/>
  <c r="Y30" i="1"/>
  <c r="Y29" i="1"/>
  <c r="AB28" i="1"/>
  <c r="U28" i="1"/>
  <c r="R28" i="1"/>
  <c r="Y28" i="1" s="1"/>
  <c r="AB27" i="1"/>
  <c r="Y27" i="1"/>
  <c r="AB26" i="1"/>
  <c r="Y26" i="1"/>
  <c r="AB25" i="1"/>
  <c r="Y25" i="1"/>
  <c r="AB24" i="1"/>
  <c r="Y24" i="1"/>
  <c r="AB23" i="1"/>
  <c r="AB22" i="1"/>
  <c r="AB21" i="1"/>
  <c r="Y21" i="1"/>
  <c r="U21" i="1"/>
  <c r="AB20" i="1"/>
  <c r="R20" i="1"/>
  <c r="Y20" i="1" s="1"/>
  <c r="AB19" i="1"/>
  <c r="AB18" i="1"/>
  <c r="Y18" i="1"/>
  <c r="U18" i="1"/>
  <c r="AB17" i="1"/>
  <c r="U17" i="1"/>
  <c r="R17" i="1"/>
  <c r="Y17" i="1" s="1"/>
  <c r="Y16" i="1"/>
  <c r="U16" i="1"/>
  <c r="AB15" i="1"/>
  <c r="U15" i="1"/>
  <c r="R15" i="1"/>
  <c r="Y15" i="1" s="1"/>
  <c r="Y14" i="1"/>
  <c r="U14" i="1"/>
  <c r="AB13" i="1"/>
  <c r="AB12" i="1"/>
  <c r="Y12" i="1"/>
  <c r="U12" i="1"/>
  <c r="AB11" i="1"/>
  <c r="Y11" i="1"/>
  <c r="U11" i="1"/>
  <c r="AB10" i="1"/>
  <c r="Y10" i="1"/>
  <c r="U10" i="1"/>
  <c r="AB9" i="1"/>
  <c r="Y9" i="1"/>
  <c r="U9" i="1"/>
  <c r="AB8" i="1"/>
  <c r="AB7" i="1"/>
  <c r="Y7" i="1"/>
  <c r="AB6" i="1"/>
  <c r="Y6" i="1"/>
  <c r="AB5" i="1"/>
  <c r="Y5" i="1"/>
  <c r="Y4" i="1"/>
  <c r="R4" i="1"/>
  <c r="AB3" i="1"/>
  <c r="Y3" i="1"/>
  <c r="AB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40" authorId="0" shapeId="0" xr:uid="{F02B03FD-317A-4BFE-AA71-8B810C47B7A0}">
      <text>
        <r>
          <rPr>
            <sz val="11"/>
            <color theme="1"/>
            <rFont val="Calibri"/>
            <scheme val="minor"/>
          </rPr>
          <t>Added 18 years as it can be withdrawn after completion of 18 years of child
	-Rajan</t>
        </r>
      </text>
    </comment>
    <comment ref="F63" authorId="0" shapeId="0" xr:uid="{9C23EEB1-3DDC-4DA4-8B38-653E690534F3}">
      <text>
        <r>
          <rPr>
            <sz val="11"/>
            <color theme="1"/>
            <rFont val="Calibri"/>
            <scheme val="minor"/>
          </rPr>
          <t>Added 18 years as it can be withdrawn after completion of 18 years of child
	-Rajan</t>
        </r>
      </text>
    </comment>
  </commentList>
</comments>
</file>

<file path=xl/sharedStrings.xml><?xml version="1.0" encoding="utf-8"?>
<sst xmlns="http://schemas.openxmlformats.org/spreadsheetml/2006/main" count="931" uniqueCount="306">
  <si>
    <t>Name</t>
  </si>
  <si>
    <t>Policy Company</t>
  </si>
  <si>
    <t>Policy Name</t>
  </si>
  <si>
    <t xml:space="preserve">Policy Number </t>
  </si>
  <si>
    <t>Policy Start Date</t>
  </si>
  <si>
    <t>Policy End Date</t>
  </si>
  <si>
    <t>Maturity date</t>
  </si>
  <si>
    <t>Plan Id</t>
  </si>
  <si>
    <t>Term Years</t>
  </si>
  <si>
    <t>Paying term</t>
  </si>
  <si>
    <t>Payed Instalments</t>
  </si>
  <si>
    <t>Insured Amount</t>
  </si>
  <si>
    <t>Installment Type</t>
  </si>
  <si>
    <t>Policy Pay Date</t>
  </si>
  <si>
    <t>Basic Amt</t>
  </si>
  <si>
    <t>Amount W/O Tax</t>
  </si>
  <si>
    <t>Tax</t>
  </si>
  <si>
    <t>Yearly Premium Pmt Amt</t>
  </si>
  <si>
    <t>Auto Debit</t>
  </si>
  <si>
    <t>Auto Debit Bank</t>
  </si>
  <si>
    <t>Next Payment Date</t>
  </si>
  <si>
    <t>Bdate</t>
  </si>
  <si>
    <t>Account No</t>
  </si>
  <si>
    <t>Comments</t>
  </si>
  <si>
    <t>Total Paid up to date</t>
  </si>
  <si>
    <t>Nominne</t>
  </si>
  <si>
    <t>Plus++ Other</t>
  </si>
  <si>
    <t>Total Maturity Amount</t>
  </si>
  <si>
    <t>Z-SMV - 12</t>
  </si>
  <si>
    <t>HDFC (Home Loan)</t>
  </si>
  <si>
    <t>HDFC Home Loan</t>
  </si>
  <si>
    <t>667098528/RV2</t>
  </si>
  <si>
    <t>SMV-Home Loan</t>
  </si>
  <si>
    <t>4.5 Years</t>
  </si>
  <si>
    <t>M</t>
  </si>
  <si>
    <t>Y</t>
  </si>
  <si>
    <t>HDFC</t>
  </si>
  <si>
    <t>Monthly</t>
  </si>
  <si>
    <t>Rajan Account - HDFC</t>
  </si>
  <si>
    <t>RBP</t>
  </si>
  <si>
    <t>Dastavage time legal 351111 + HDFC 2200000 &amp; OMF BOI 2000000, omf cash 367851 +4694, INTEREST 550000, Furniture 575000, Sofa 72611, Colour &amp; POP 210000, Grill 141000, Solar 140000, AC 206000, Electrical work 92288, curtains 35000, Matreses 26650, Geaser 22000, Kitchen Tins 15400, Washing machine 50000, RO 26500, Bathroom Net 4500, Plumbing 100395, + Fan 29000+ Nagarpalike property name 21410</t>
  </si>
  <si>
    <t>Karamsad Nagarpalika Tax</t>
  </si>
  <si>
    <t>10011/177/1/2</t>
  </si>
  <si>
    <t>N/A</t>
  </si>
  <si>
    <t>SMV-Home</t>
  </si>
  <si>
    <t>1  Year</t>
  </si>
  <si>
    <t>1 Year</t>
  </si>
  <si>
    <t>Karamsad House</t>
  </si>
  <si>
    <t>Z-G C - B-101</t>
  </si>
  <si>
    <t>NKP</t>
  </si>
  <si>
    <t>Gram Panchayat Tax</t>
  </si>
  <si>
    <t>Gram Panchayat, Kosamdi (House Tax)</t>
  </si>
  <si>
    <t>B-101-House Tax</t>
  </si>
  <si>
    <t>N</t>
  </si>
  <si>
    <t>NA</t>
  </si>
  <si>
    <t>House Tax to be paid within a year</t>
  </si>
  <si>
    <t>Rajankumar B Patel</t>
  </si>
  <si>
    <t>FUNDZ BAZAR</t>
  </si>
  <si>
    <t>Franklin India Liquid Fund - Super Institutional - Growth # Folio: 34658459 # NAV Date: 02 Mar 25 # Nature: Debt/Liq # OE</t>
  </si>
  <si>
    <t>20 Years</t>
  </si>
  <si>
    <t>yearly</t>
  </si>
  <si>
    <t>y</t>
  </si>
  <si>
    <t>AXIS BANK</t>
  </si>
  <si>
    <t>profits with subject to market risks</t>
  </si>
  <si>
    <t>on an average</t>
  </si>
  <si>
    <t>HSBC Small Cap Fund - Regular Plan - Growth # Folio: 20765199/34 # NAV Date: 28 Feb 25 # Nature: EQ/SCap # OE</t>
  </si>
  <si>
    <t>PRAN</t>
  </si>
  <si>
    <t>NPS KOTAK PENSION FUND SCHEME</t>
  </si>
  <si>
    <t>110177492138</t>
  </si>
  <si>
    <t>KRIVAM RAJANKUMAR PATEL
JALPABEN RAJANKUMAR PATEL</t>
  </si>
  <si>
    <t>UNKNOWN</t>
  </si>
  <si>
    <t>ICICI</t>
  </si>
  <si>
    <t>ICICI Pru Life Time Classic</t>
  </si>
  <si>
    <t>J3217448</t>
  </si>
  <si>
    <t>33 Years</t>
  </si>
  <si>
    <t>7 Years</t>
  </si>
  <si>
    <t>1250000 S/A 1250000 Acc Ben</t>
  </si>
  <si>
    <t>New policy taken on15May 2024 to pay for 7 years Direct Didected from Policy No.27221065</t>
  </si>
  <si>
    <t>Kevin</t>
  </si>
  <si>
    <t>LIC</t>
  </si>
  <si>
    <t>New Jivan Anand with Profit</t>
  </si>
  <si>
    <t>21 Years</t>
  </si>
  <si>
    <t>750000 S/A 750000 Acc Ben</t>
  </si>
  <si>
    <t>39432+750</t>
  </si>
  <si>
    <t>Needed to Get TRUE Value</t>
  </si>
  <si>
    <t>Manjuben</t>
  </si>
  <si>
    <t>Jivan Saral with Profit</t>
  </si>
  <si>
    <t>165/20/20</t>
  </si>
  <si>
    <t>250000 S/A 250000 Acc Ben</t>
  </si>
  <si>
    <t>Q</t>
  </si>
  <si>
    <t>3000.5+62.5</t>
  </si>
  <si>
    <t>Jivan Anand</t>
  </si>
  <si>
    <t>149/77/21</t>
  </si>
  <si>
    <t>POST</t>
  </si>
  <si>
    <t>PPF</t>
  </si>
  <si>
    <t>4474376760</t>
  </si>
  <si>
    <t>15 Years</t>
  </si>
  <si>
    <t>to be paid 1.5 lac within 1 year</t>
  </si>
  <si>
    <t>Krivam</t>
  </si>
  <si>
    <t>27221065</t>
  </si>
  <si>
    <t>5 Years</t>
  </si>
  <si>
    <t>Closed sept-23, next to withdraw or reinvest</t>
  </si>
  <si>
    <t>Kotak Smart Life</t>
  </si>
  <si>
    <t>77765697 / 107N102V03</t>
  </si>
  <si>
    <t>41 years</t>
  </si>
  <si>
    <t>10 years</t>
  </si>
  <si>
    <t>(Activa) Bajaj Allianz General Insurance Company Ltd</t>
  </si>
  <si>
    <t>2 Wheeler Policy</t>
  </si>
  <si>
    <t>OG-20-2225-1802-00007834</t>
  </si>
  <si>
    <t>GJ16BH4758</t>
  </si>
  <si>
    <t>1269+228</t>
  </si>
  <si>
    <t>Activa Policy- 9904777773</t>
  </si>
  <si>
    <t>(Car) Royal Sundaram General Insurance Co. Ltd</t>
  </si>
  <si>
    <t>Royal Sundaram General Insurance Co. Ltd (CAR Insurance)</t>
  </si>
  <si>
    <t>VPC1608611000100</t>
  </si>
  <si>
    <t>GJ16BG758-CAR</t>
  </si>
  <si>
    <t>CAR Policy</t>
  </si>
  <si>
    <t>The Oriental Insurance Company Ltd</t>
  </si>
  <si>
    <t>NagrikSuraksha Individual Piolicy Schedule</t>
  </si>
  <si>
    <t>171901/48/2022/2422</t>
  </si>
  <si>
    <t>Individual Policy One Time</t>
  </si>
  <si>
    <t>Bakorbhai</t>
  </si>
  <si>
    <t>Nehal K Patel</t>
  </si>
  <si>
    <t>165/30/30</t>
  </si>
  <si>
    <t>30 Years</t>
  </si>
  <si>
    <t>6299.75+131.25</t>
  </si>
  <si>
    <t>(Closed)ICICI Pru Life Time Classic</t>
  </si>
  <si>
    <t>Closed - in sept-23, next to decide for withdrawal / reinvest</t>
  </si>
  <si>
    <t>E5638310</t>
  </si>
  <si>
    <t>New policy taken on Dec-2022 to pay for 5 years</t>
  </si>
  <si>
    <t>Kotak</t>
  </si>
  <si>
    <t>Kotak-Assured Savings Plan</t>
  </si>
  <si>
    <t>09020528</t>
  </si>
  <si>
    <t>66943425/107N081V01</t>
  </si>
  <si>
    <t>10 Years</t>
  </si>
  <si>
    <t>SBI</t>
  </si>
  <si>
    <t>SBI Life Smart Wealth Builer</t>
  </si>
  <si>
    <t>1K506428304</t>
  </si>
  <si>
    <t>729212997/111L095V01</t>
  </si>
  <si>
    <t>J3207971</t>
  </si>
  <si>
    <t>New policy taken on15May 2024 to pay for 7 years Direct Didected from Policy No.27221079</t>
  </si>
  <si>
    <t>Canara Robeco Emerging Equities - Regular Plan - Growth # Folio: 19964393332 # NAV Date: 28 Feb 25 # Nature: EQ/L&amp;MCap # OE</t>
  </si>
  <si>
    <t>monthly</t>
  </si>
  <si>
    <t>Monthly - on DT: 06</t>
  </si>
  <si>
    <t>BOB</t>
  </si>
  <si>
    <t>Kotak Emerging Equity Fund - Growth # Folio: 15259234/90 # NAV Date: 28 Feb 25 # Nature: EQ/MCap # OE</t>
  </si>
  <si>
    <t>Monthly - on DT: 05</t>
  </si>
  <si>
    <t>Tata Infrastructure Fund - Regular Plan - Growth # Folio: 11552007/42 # NAV Date: 28 Feb 25 # Nature: EQ/Sec # OE</t>
  </si>
  <si>
    <t>Monthly - on DT: 23</t>
  </si>
  <si>
    <t>Tata Mid Cap Growth Fund - Regular Plan - Growth # Folio: 11672756/90 # NAV Date: 28 Feb 25 # Nature: EQ/MCap # OE</t>
  </si>
  <si>
    <t>Manjulaben B Patel</t>
  </si>
  <si>
    <t>16 Years</t>
  </si>
  <si>
    <t>38342+440</t>
  </si>
  <si>
    <t>Sume assured 440000  &amp; Accidentai 440000</t>
  </si>
  <si>
    <t>Bank of Maharashtra</t>
  </si>
  <si>
    <t>Pradhan Mantri Suraksha Bima yogna</t>
  </si>
  <si>
    <t>A3807131</t>
  </si>
  <si>
    <t>5 years policy from start date</t>
  </si>
  <si>
    <t>E2459841</t>
  </si>
  <si>
    <t>Franklin India Liquid Fund - Super Institutional - Growth # Folio: 34658384 # NAV Date: 28 Feb 25 # Nature: Debt/Liq # OE</t>
  </si>
  <si>
    <t>Invesco India Multicap Fund - Growth # Folio: 31025251814 # NAV Date: 28 Feb 25 # Nature: EQ/MulCap # OE</t>
  </si>
  <si>
    <t>Krivam R Patel</t>
  </si>
  <si>
    <t>DSP Banking &amp; Financial Services Fund - Regular Plan - Growth # Folio: 9795569/25 # NAV Date: 28 Feb 25 # Nature: EQ/Sec # OE</t>
  </si>
  <si>
    <t>Monthly Dt: 07</t>
  </si>
  <si>
    <t>HDFC Infrastructure Fund - Growth # Folio: 33112461/26 # NAV Date: 28 Feb 25 # Nature: EQ/Sec # OE</t>
  </si>
  <si>
    <t>DSP India T.I.G.E.R. Fund - Regular Plan - Growth # Folio: 9795565/37 # NAV Date: 28 Feb 25 # Nature: EQ/Sec # OE</t>
  </si>
  <si>
    <t>DSP Small Cap Fund - Regular Plan - Growth # Folio: 9795557/61 # NAV Date: 28 Feb 25 # Nature: EQ/SCap # OE</t>
  </si>
  <si>
    <t>AXIS PENSION FUND MANAGEMENT LIMITED SCHEME E</t>
  </si>
  <si>
    <t>110231957380</t>
  </si>
  <si>
    <t>110231957573</t>
  </si>
  <si>
    <t>Khwaish K Patel</t>
  </si>
  <si>
    <t>Pradhan Mantri Sukanya yogna</t>
  </si>
  <si>
    <t>010015072472</t>
  </si>
  <si>
    <t>21 years</t>
  </si>
  <si>
    <t>SSA</t>
  </si>
  <si>
    <t>18 years</t>
  </si>
  <si>
    <t>to be paid 01 - 07 apr otherwise interest will get calculated on next month to be paid 1.5 lac</t>
  </si>
  <si>
    <t>Nehalben</t>
  </si>
  <si>
    <t>Franklin India Smaller Companies Fund - Growth # Folio: 34777883 # NAV Date: 28 Feb 25 # Nature: EQ/SCap # OE</t>
  </si>
  <si>
    <t>Monthly Dt: 09</t>
  </si>
  <si>
    <t>Invesco India Flexi Cap Fund - Regular Plan - Growth # Folio: 31027033436 # NAV Date: 28 Feb 25 # Nature: EQ/FlxCap # OE</t>
  </si>
  <si>
    <t>SBI Small Cap Fund - Regular Plan - Growth # Folio: 42625614 # NAV Date: 28 Feb 25 # Nature: EQ/SCap # OE</t>
  </si>
  <si>
    <t>Kevin B Patel</t>
  </si>
  <si>
    <t>New Jivan Anand</t>
  </si>
  <si>
    <t>815 16 16</t>
  </si>
  <si>
    <t>400000 S/A 400000 Acc Ben</t>
  </si>
  <si>
    <t>29525+400</t>
  </si>
  <si>
    <t>815 17 17</t>
  </si>
  <si>
    <t>17 Years</t>
  </si>
  <si>
    <t>27656+400</t>
  </si>
  <si>
    <t>815 18 18</t>
  </si>
  <si>
    <t>18 Years</t>
  </si>
  <si>
    <t>25860+400</t>
  </si>
  <si>
    <t>J3216718</t>
  </si>
  <si>
    <t>New policy taken on15May 2024 to pay for 7 years Direct Didected from Policy No.27224069</t>
  </si>
  <si>
    <t>010038781744</t>
  </si>
  <si>
    <t>Nehal</t>
  </si>
  <si>
    <t>Punjab National Bank VV Nagar</t>
  </si>
  <si>
    <t>Atal Pension Yojna</t>
  </si>
  <si>
    <t xml:space="preserve"> </t>
  </si>
  <si>
    <t>to be paid 6415 Half Yearly</t>
  </si>
  <si>
    <t>BOI - SUD - STAR UNION</t>
  </si>
  <si>
    <t>02459968</t>
  </si>
  <si>
    <t>FROM BOI</t>
  </si>
  <si>
    <t>Paid for 5 years, next step is to withdraw/reinvest</t>
  </si>
  <si>
    <t>171901/48/2022/2420</t>
  </si>
  <si>
    <t>Individual Policy One Time, assures sum upon loss of person Current cum bonus 50000 - Rs</t>
  </si>
  <si>
    <t>na</t>
  </si>
  <si>
    <t>Aditya Birla Sun Life Frontline Equity Fund - Growth # Folio: 1048238064 # NAV Date: 28 Feb 25 # Nature: EQ/LCap # OE</t>
  </si>
  <si>
    <t>PNB</t>
  </si>
  <si>
    <t>SBI Large &amp; Midcap Fund - Regular Plan - Growth # Folio: 41186196 # NAV Date: 27 Feb 25 # Nature: EQ/L&amp;MCap # OE</t>
  </si>
  <si>
    <t>Monthly Dt: 26</t>
  </si>
  <si>
    <t>SBI Liquid Fund - Regular Plan - Growth # Folio: 41186196 # NAV Date: 28 Feb 25 # Nature: Debt/Liq # OE</t>
  </si>
  <si>
    <t>Jalpa R Patel</t>
  </si>
  <si>
    <t>010015004042</t>
  </si>
  <si>
    <t>Rajankumar</t>
  </si>
  <si>
    <t>ICICI Pru Signature</t>
  </si>
  <si>
    <t>A3831713</t>
  </si>
  <si>
    <t>Maturity Dt. 18-Sept-36</t>
  </si>
  <si>
    <t>LIC Rider-16 Acc. Deth and Diisability Benifit</t>
  </si>
  <si>
    <t>936187391</t>
  </si>
  <si>
    <t>21-Sept-22</t>
  </si>
  <si>
    <t>21-Sept-37</t>
  </si>
  <si>
    <t>512N279V02</t>
  </si>
  <si>
    <t>Maturity Dt. 31-May-38</t>
  </si>
  <si>
    <t>HDFC Small Cap Fund - Regular Plan - Growth # Folio: 31997841/05 # NAV Date: 28 Feb 25 # Nature: EQ/SCap # OE</t>
  </si>
  <si>
    <t>Nippon India Liquid Fund - Growth # Folio: 499366475256 # NAV Date: 02 Mar 25 # Nature: Debt/Liq # OE</t>
  </si>
  <si>
    <t>NPS TRUST- A/C HDFC PENSION FUND MANAGEMENT LIMITED SCHEME</t>
  </si>
  <si>
    <t>110178293715</t>
  </si>
  <si>
    <t>KRIVAM RAJANKUMAR PATEL</t>
  </si>
  <si>
    <t>Hetvi K Patel</t>
  </si>
  <si>
    <t>Jivan Tarun</t>
  </si>
  <si>
    <t>834-24-19</t>
  </si>
  <si>
    <t>24 Years</t>
  </si>
  <si>
    <t>19 Years</t>
  </si>
  <si>
    <t>21529.53+738.47</t>
  </si>
  <si>
    <t>Motilal Oswal Small Cap Fund - Regular Plan - Growth # Folio: 91094549725 # NAV Date: 28 Feb 25 # Nature: EQ/SCap # OE</t>
  </si>
  <si>
    <t>09-12-2024</t>
  </si>
  <si>
    <t>09-12-2030</t>
  </si>
  <si>
    <t>09-12-2044</t>
  </si>
  <si>
    <t>Monthly - on DT: 09</t>
  </si>
  <si>
    <t>Nippon India Value Fund - Growth # Folio: 499381532787 # NAV Date: 28 Feb 25 # Nature: EQ/Value # OE</t>
  </si>
  <si>
    <t>Tata Equity P/E Fund - Growth # Folio: 12674554/47 # NAV Date: 28 Feb 25 # Nature: EQ/Value # OE</t>
  </si>
  <si>
    <t>Bakorbhai H Patel</t>
  </si>
  <si>
    <t>Jivan Labh</t>
  </si>
  <si>
    <t>512B209V01/836/16/10</t>
  </si>
  <si>
    <t>19188+280</t>
  </si>
  <si>
    <t>Life Time Classic</t>
  </si>
  <si>
    <t>A3807182</t>
  </si>
  <si>
    <t>N0</t>
  </si>
  <si>
    <t>NO</t>
  </si>
  <si>
    <t>MAX Life Insurance</t>
  </si>
  <si>
    <t>Max Life Guaranteed Lifetime Income Plan</t>
  </si>
  <si>
    <t>144359494</t>
  </si>
  <si>
    <t>104N076V16</t>
  </si>
  <si>
    <t>35 Years</t>
  </si>
  <si>
    <t>38838 after 6th year i.e 2029</t>
  </si>
  <si>
    <t>Annuity To start from 26-May-2029, 
Rs. 38328.26 per year in BHP Axis</t>
  </si>
  <si>
    <t>Bank of Baroda</t>
  </si>
  <si>
    <t>Personal Accidental Insurance</t>
  </si>
  <si>
    <t>171901/48/2025/2620</t>
  </si>
  <si>
    <t>accident</t>
  </si>
  <si>
    <t>no return accident policy</t>
  </si>
  <si>
    <t>Nagrik Suraksha</t>
  </si>
  <si>
    <t>171901/48/2025/2623</t>
  </si>
  <si>
    <t xml:space="preserve"> (Bike) The Oriental Insurance Company Ltd</t>
  </si>
  <si>
    <t>Motor Insurance 2 wheelers</t>
  </si>
  <si>
    <t>171901/31/2020/3341</t>
  </si>
  <si>
    <t>GJ16AE4758</t>
  </si>
  <si>
    <t>Bike Policy section III, claim amount 1500000 Rs</t>
  </si>
  <si>
    <t>ICICI Prudential Multicap Fund - Growth # Folio: 35880278/66 # NAV Date: 28 Feb 25 # Nature: EQ/MulCap # OE</t>
  </si>
  <si>
    <t>PGIM India Liquid Fund - Growth # Folio: 91022372746 # NAV Date: 28 Feb 25 # Nature: Debt/Liq # OE</t>
  </si>
  <si>
    <t>B-101_GramPanchayat</t>
  </si>
  <si>
    <t>NKP_FUNDBAZAR_19964393332</t>
  </si>
  <si>
    <t>NKP_FUNDBAZAR_15259234</t>
  </si>
  <si>
    <t>NKP_FUNDBAZAR_11552007</t>
  </si>
  <si>
    <t>NKP_FUNDBAZAR_11672756</t>
  </si>
  <si>
    <t>MBP_PMSBY_BOM</t>
  </si>
  <si>
    <t>MBP_FUNDBAZAR_34658384</t>
  </si>
  <si>
    <t>MBP_FUNDBAZAR_31025251814</t>
  </si>
  <si>
    <t>KRP_FUNDBAZAR_9795569</t>
  </si>
  <si>
    <t>KRP_FUNDBAZAR_33112461</t>
  </si>
  <si>
    <t>KRP_FUNDBAZAR_9795565</t>
  </si>
  <si>
    <t>KRP_FUNDBAZAR_9795557</t>
  </si>
  <si>
    <t>KKP_FUNDBAZAR_34777883</t>
  </si>
  <si>
    <t>KKP_FUNDBAZAR_31027033436</t>
  </si>
  <si>
    <t>KKP_FUNDBAZAR_42625614</t>
  </si>
  <si>
    <t>KBP_APY_PNB</t>
  </si>
  <si>
    <t xml:space="preserve"> ICICI</t>
  </si>
  <si>
    <t>Premium Paid</t>
  </si>
  <si>
    <t>Premuim Paid Fully</t>
  </si>
  <si>
    <t>KBP_FUNDBAZAR_1048238064</t>
  </si>
  <si>
    <t>RP_FUNDBAZAR_20765199</t>
  </si>
  <si>
    <t>RP_FUNDBAZAR_34658459</t>
  </si>
  <si>
    <t>KBP_FUNDBAZAR_41186196_01</t>
  </si>
  <si>
    <t>KBP_FUNDBAZAR_41186196_02</t>
  </si>
  <si>
    <t>JRP_FUNDBAZAR_31997841</t>
  </si>
  <si>
    <t>JRP_FUNDBAZAR_499366475256</t>
  </si>
  <si>
    <t>HKP_FUNDBAZAR_91094549725</t>
  </si>
  <si>
    <t>HKP_FUNDBAZAR_499381532787</t>
  </si>
  <si>
    <t>HKP_FUNDBAZAR_12674554</t>
  </si>
  <si>
    <t>BHP_PMSBY_BOM</t>
  </si>
  <si>
    <t>BHP_PMSBY_BOB</t>
  </si>
  <si>
    <t>BHP_FUNDBAZAR_35880278</t>
  </si>
  <si>
    <t>BHP_FUNDBAZAR_91022372746</t>
  </si>
  <si>
    <t>Additional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</si>
</sst>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&quot;$&quot;\ * #,##0.00_ ;_ &quot;$&quot;\ * \-#,##0.00_ ;_ &quot;$&quot;\ * &quot;-&quot;??_ ;_ @_ "/>
    <numFmt numFmtId="165" formatCode="_ * #,##0.00_ ;_ * \-#,##0.00_ ;_ * &quot;-&quot;??_ ;_ @_ "/>
    <numFmt numFmtId="167" formatCode="d\-mmmm\-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2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548DD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165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42">
    <xf numFmtId="0" fontId="0" fillId="0" borderId="0" xfId="0"/>
    <xf numFmtId="165" fontId="5" fillId="3" borderId="1" xfId="2" applyFont="1" applyFill="1" applyBorder="1" applyAlignment="1">
      <alignment horizontal="center" vertical="center" wrapText="1"/>
    </xf>
    <xf numFmtId="165" fontId="6" fillId="2" borderId="1" xfId="2" applyFont="1" applyFill="1" applyBorder="1" applyAlignment="1">
      <alignment horizontal="center" vertical="center" wrapText="1"/>
    </xf>
    <xf numFmtId="165" fontId="3" fillId="2" borderId="1" xfId="2" applyFont="1" applyFill="1" applyBorder="1" applyAlignment="1">
      <alignment horizontal="center" vertical="center" wrapText="1"/>
    </xf>
    <xf numFmtId="49" fontId="4" fillId="3" borderId="1" xfId="2" applyNumberFormat="1" applyFont="1" applyFill="1" applyBorder="1" applyAlignment="1">
      <alignment horizontal="center" vertical="center" wrapText="1"/>
    </xf>
    <xf numFmtId="165" fontId="6" fillId="4" borderId="1" xfId="2" applyFont="1" applyFill="1" applyBorder="1" applyAlignment="1">
      <alignment horizontal="center" vertical="center" wrapText="1"/>
    </xf>
    <xf numFmtId="14" fontId="6" fillId="2" borderId="1" xfId="2" applyNumberFormat="1" applyFont="1" applyFill="1" applyBorder="1" applyAlignment="1">
      <alignment horizontal="center" vertical="center" wrapText="1"/>
    </xf>
    <xf numFmtId="165" fontId="6" fillId="6" borderId="1" xfId="2" applyFont="1" applyFill="1" applyBorder="1" applyAlignment="1">
      <alignment horizontal="center" vertical="center" wrapText="1"/>
    </xf>
    <xf numFmtId="165" fontId="10" fillId="2" borderId="1" xfId="2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14" fontId="9" fillId="3" borderId="1" xfId="0" applyNumberFormat="1" applyFont="1" applyFill="1" applyBorder="1" applyAlignment="1">
      <alignment horizontal="center" vertical="center" wrapText="1"/>
    </xf>
    <xf numFmtId="16" fontId="9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3" fontId="4" fillId="3" borderId="1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15" fontId="6" fillId="2" borderId="1" xfId="0" applyNumberFormat="1" applyFont="1" applyFill="1" applyBorder="1" applyAlignment="1">
      <alignment horizontal="center" vertical="center" wrapText="1"/>
    </xf>
    <xf numFmtId="167" fontId="6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43" fontId="6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 vertical="center" wrapText="1"/>
    </xf>
    <xf numFmtId="15" fontId="7" fillId="2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43" fontId="6" fillId="6" borderId="1" xfId="0" applyNumberFormat="1" applyFont="1" applyFill="1" applyBorder="1" applyAlignment="1">
      <alignment horizontal="center" vertical="center" wrapText="1"/>
    </xf>
    <xf numFmtId="14" fontId="6" fillId="6" borderId="1" xfId="0" applyNumberFormat="1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43" fontId="6" fillId="4" borderId="1" xfId="0" applyNumberFormat="1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16" fontId="6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3" fontId="3" fillId="2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right" vertical="center" wrapText="1"/>
    </xf>
    <xf numFmtId="43" fontId="11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4" fontId="8" fillId="2" borderId="1" xfId="0" applyNumberFormat="1" applyFont="1" applyFill="1" applyBorder="1" applyAlignment="1">
      <alignment horizontal="center" vertical="center" wrapText="1"/>
    </xf>
  </cellXfs>
  <cellStyles count="6">
    <cellStyle name="Comma 2" xfId="4" xr:uid="{AC492A3A-636D-4F47-8B78-07513689AF61}"/>
    <cellStyle name="Comma 3" xfId="2" xr:uid="{00000000-0005-0000-0000-00002F000000}"/>
    <cellStyle name="Currency 2" xfId="5" xr:uid="{00000000-0005-0000-0000-000031000000}"/>
    <cellStyle name="Normal" xfId="0" builtinId="0"/>
    <cellStyle name="Normal 2" xfId="3" xr:uid="{258A4253-A522-4A94-A15C-4EE07C5A062C}"/>
    <cellStyle name="Normal 3" xfId="1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F077A-A914-4735-85C3-0380871D508E}">
  <dimension ref="A1:AD80"/>
  <sheetViews>
    <sheetView tabSelected="1" zoomScaleNormal="100" workbookViewId="0">
      <pane xSplit="1" ySplit="1" topLeftCell="AA2" activePane="bottomRight" state="frozen"/>
      <selection pane="topRight" activeCell="B1" sqref="B1"/>
      <selection pane="bottomLeft" activeCell="A2" sqref="A2"/>
      <selection pane="bottomRight" activeCell="AA2" sqref="AA2"/>
    </sheetView>
  </sheetViews>
  <sheetFormatPr defaultRowHeight="15" x14ac:dyDescent="0.25"/>
  <cols>
    <col min="1" max="1" width="16.140625" bestFit="1" customWidth="1"/>
    <col min="2" max="2" width="21.5703125" bestFit="1" customWidth="1"/>
    <col min="3" max="3" width="23.28515625" bestFit="1" customWidth="1"/>
    <col min="4" max="4" width="19" bestFit="1" customWidth="1"/>
    <col min="5" max="5" width="19.7109375" bestFit="1" customWidth="1"/>
    <col min="6" max="6" width="18.7109375" bestFit="1" customWidth="1"/>
    <col min="7" max="7" width="17.28515625" bestFit="1" customWidth="1"/>
    <col min="8" max="8" width="13.7109375" bestFit="1" customWidth="1"/>
    <col min="9" max="9" width="15" bestFit="1" customWidth="1"/>
    <col min="10" max="10" width="15.5703125" bestFit="1" customWidth="1"/>
    <col min="11" max="11" width="21.28515625" bestFit="1" customWidth="1"/>
    <col min="12" max="12" width="19.28515625" bestFit="1" customWidth="1"/>
    <col min="13" max="13" width="19.85546875" bestFit="1" customWidth="1"/>
    <col min="14" max="14" width="18.5703125" bestFit="1" customWidth="1"/>
    <col min="15" max="15" width="14.5703125" bestFit="1" customWidth="1"/>
    <col min="16" max="16" width="20.42578125" bestFit="1" customWidth="1"/>
    <col min="17" max="17" width="8.42578125" bestFit="1" customWidth="1"/>
    <col min="18" max="18" width="23.7109375" bestFit="1" customWidth="1"/>
    <col min="19" max="19" width="14.5703125" bestFit="1" customWidth="1"/>
    <col min="20" max="20" width="19.42578125" bestFit="1" customWidth="1"/>
    <col min="21" max="21" width="22.140625" bestFit="1" customWidth="1"/>
    <col min="22" max="22" width="10.140625" bestFit="1" customWidth="1"/>
    <col min="23" max="23" width="15.7109375" bestFit="1" customWidth="1"/>
    <col min="24" max="24" width="23" bestFit="1" customWidth="1"/>
    <col min="25" max="25" width="24" bestFit="1" customWidth="1"/>
    <col min="26" max="26" width="20.42578125" bestFit="1" customWidth="1"/>
    <col min="27" max="27" width="16.28515625" bestFit="1" customWidth="1"/>
    <col min="28" max="28" width="17.28515625" bestFit="1" customWidth="1"/>
    <col min="29" max="29" width="17.85546875" bestFit="1" customWidth="1"/>
    <col min="30" max="30" width="126.7109375" bestFit="1" customWidth="1"/>
  </cols>
  <sheetData>
    <row r="1" spans="1:30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1" t="s">
        <v>13</v>
      </c>
      <c r="O1" s="12" t="s">
        <v>14</v>
      </c>
      <c r="P1" s="12" t="s">
        <v>15</v>
      </c>
      <c r="Q1" s="12" t="s">
        <v>16</v>
      </c>
      <c r="R1" s="1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9" t="s">
        <v>22</v>
      </c>
      <c r="X1" s="13" t="s">
        <v>23</v>
      </c>
      <c r="Y1" s="14" t="s">
        <v>24</v>
      </c>
      <c r="Z1" s="13" t="s">
        <v>25</v>
      </c>
      <c r="AA1" s="13" t="s">
        <v>26</v>
      </c>
      <c r="AB1" s="15" t="str">
        <f>G1</f>
        <v>Maturity date</v>
      </c>
      <c r="AC1" s="4" t="s">
        <v>27</v>
      </c>
      <c r="AD1" s="16" t="s">
        <v>305</v>
      </c>
    </row>
    <row r="2" spans="1:30" ht="45" x14ac:dyDescent="0.25">
      <c r="A2" s="17" t="s">
        <v>28</v>
      </c>
      <c r="B2" s="17" t="s">
        <v>29</v>
      </c>
      <c r="C2" s="17" t="s">
        <v>30</v>
      </c>
      <c r="D2" s="18" t="s">
        <v>31</v>
      </c>
      <c r="E2" s="19">
        <v>44491</v>
      </c>
      <c r="F2" s="20">
        <v>46203</v>
      </c>
      <c r="G2" s="20" t="s">
        <v>43</v>
      </c>
      <c r="H2" s="17" t="s">
        <v>32</v>
      </c>
      <c r="I2" s="17" t="s">
        <v>33</v>
      </c>
      <c r="J2" s="17" t="s">
        <v>33</v>
      </c>
      <c r="K2" s="17">
        <v>40</v>
      </c>
      <c r="L2" s="17">
        <v>0</v>
      </c>
      <c r="M2" s="17" t="s">
        <v>34</v>
      </c>
      <c r="N2" s="21"/>
      <c r="O2" s="17"/>
      <c r="P2" s="17"/>
      <c r="Q2" s="17"/>
      <c r="R2" s="8">
        <v>48076</v>
      </c>
      <c r="S2" s="17" t="s">
        <v>35</v>
      </c>
      <c r="T2" s="17" t="s">
        <v>36</v>
      </c>
      <c r="U2" s="19" t="s">
        <v>37</v>
      </c>
      <c r="V2" s="19"/>
      <c r="W2" s="18" t="s">
        <v>31</v>
      </c>
      <c r="X2" s="17" t="s">
        <v>38</v>
      </c>
      <c r="Y2" s="22">
        <v>2000000</v>
      </c>
      <c r="Z2" s="17" t="s">
        <v>39</v>
      </c>
      <c r="AA2" s="2">
        <f>351111+2200000+2000000+367851+4694+550000+575000+72611+210000+141000+140000+206000+92288+35000+26650+22000+15400+50000+26500+4500+10395+29000+21410</f>
        <v>7151410</v>
      </c>
      <c r="AB2" s="6" t="str">
        <f>G2</f>
        <v>N/A</v>
      </c>
      <c r="AC2" s="2">
        <v>0</v>
      </c>
      <c r="AD2" s="23" t="s">
        <v>40</v>
      </c>
    </row>
    <row r="3" spans="1:30" ht="30" x14ac:dyDescent="0.25">
      <c r="A3" s="17" t="s">
        <v>28</v>
      </c>
      <c r="B3" s="17" t="s">
        <v>41</v>
      </c>
      <c r="C3" s="17" t="s">
        <v>41</v>
      </c>
      <c r="D3" s="18" t="s">
        <v>42</v>
      </c>
      <c r="E3" s="19">
        <v>44652</v>
      </c>
      <c r="F3" s="19">
        <v>54878</v>
      </c>
      <c r="G3" s="19" t="s">
        <v>43</v>
      </c>
      <c r="H3" s="17" t="s">
        <v>44</v>
      </c>
      <c r="I3" s="17" t="s">
        <v>45</v>
      </c>
      <c r="J3" s="17" t="s">
        <v>46</v>
      </c>
      <c r="K3" s="17">
        <v>3</v>
      </c>
      <c r="L3" s="17" t="s">
        <v>43</v>
      </c>
      <c r="M3" s="17" t="s">
        <v>35</v>
      </c>
      <c r="N3" s="19">
        <v>45748</v>
      </c>
      <c r="O3" s="17">
        <v>1587</v>
      </c>
      <c r="P3" s="17"/>
      <c r="Q3" s="17">
        <v>0</v>
      </c>
      <c r="R3" s="8">
        <v>1587</v>
      </c>
      <c r="S3" s="17"/>
      <c r="T3" s="17"/>
      <c r="U3" s="19">
        <v>45748</v>
      </c>
      <c r="V3" s="19"/>
      <c r="W3" s="18"/>
      <c r="X3" s="17" t="s">
        <v>47</v>
      </c>
      <c r="Y3" s="22">
        <f>K3*O3</f>
        <v>4761</v>
      </c>
      <c r="Z3" s="17"/>
      <c r="AA3" s="17"/>
      <c r="AB3" s="21" t="str">
        <f>G3</f>
        <v>N/A</v>
      </c>
      <c r="AC3" s="2">
        <v>0</v>
      </c>
      <c r="AD3" s="18"/>
    </row>
    <row r="4" spans="1:30" ht="30" x14ac:dyDescent="0.25">
      <c r="A4" s="17" t="s">
        <v>48</v>
      </c>
      <c r="B4" s="17" t="s">
        <v>50</v>
      </c>
      <c r="C4" s="17" t="s">
        <v>51</v>
      </c>
      <c r="D4" s="18" t="s">
        <v>272</v>
      </c>
      <c r="E4" s="19">
        <v>41640</v>
      </c>
      <c r="F4" s="19">
        <v>0</v>
      </c>
      <c r="G4" s="19">
        <v>0</v>
      </c>
      <c r="H4" s="17" t="s">
        <v>52</v>
      </c>
      <c r="I4" s="17" t="s">
        <v>46</v>
      </c>
      <c r="J4" s="17" t="s">
        <v>46</v>
      </c>
      <c r="K4" s="17">
        <v>10</v>
      </c>
      <c r="L4" s="17">
        <v>2100</v>
      </c>
      <c r="M4" s="17" t="s">
        <v>35</v>
      </c>
      <c r="N4" s="21">
        <v>0</v>
      </c>
      <c r="O4" s="17">
        <v>2100</v>
      </c>
      <c r="P4" s="17">
        <v>2100</v>
      </c>
      <c r="Q4" s="17">
        <v>0</v>
      </c>
      <c r="R4" s="8">
        <f>P4+Q4</f>
        <v>2100</v>
      </c>
      <c r="S4" s="17" t="s">
        <v>53</v>
      </c>
      <c r="T4" s="17" t="s">
        <v>54</v>
      </c>
      <c r="U4" s="24">
        <v>45731</v>
      </c>
      <c r="V4" s="19"/>
      <c r="W4" s="17"/>
      <c r="X4" s="17" t="s">
        <v>55</v>
      </c>
      <c r="Y4" s="22">
        <f>K4*O4</f>
        <v>21000</v>
      </c>
      <c r="Z4" s="17" t="s">
        <v>49</v>
      </c>
      <c r="AA4" s="17"/>
      <c r="AB4" s="21"/>
      <c r="AC4" s="2">
        <v>0</v>
      </c>
      <c r="AD4" s="18"/>
    </row>
    <row r="5" spans="1:30" ht="90" x14ac:dyDescent="0.25">
      <c r="A5" s="17" t="s">
        <v>56</v>
      </c>
      <c r="B5" s="17" t="s">
        <v>57</v>
      </c>
      <c r="C5" s="17" t="s">
        <v>58</v>
      </c>
      <c r="D5" s="18" t="s">
        <v>293</v>
      </c>
      <c r="E5" s="19">
        <v>45560</v>
      </c>
      <c r="F5" s="19">
        <v>47751</v>
      </c>
      <c r="G5" s="19"/>
      <c r="H5" s="17"/>
      <c r="I5" s="17" t="s">
        <v>59</v>
      </c>
      <c r="J5" s="17" t="s">
        <v>60</v>
      </c>
      <c r="K5" s="17">
        <v>1</v>
      </c>
      <c r="L5" s="17"/>
      <c r="M5" s="17" t="s">
        <v>61</v>
      </c>
      <c r="N5" s="19">
        <v>45925</v>
      </c>
      <c r="O5" s="17">
        <v>99998</v>
      </c>
      <c r="P5" s="17"/>
      <c r="Q5" s="17"/>
      <c r="R5" s="8">
        <v>99998</v>
      </c>
      <c r="S5" s="17" t="s">
        <v>35</v>
      </c>
      <c r="T5" s="17" t="s">
        <v>62</v>
      </c>
      <c r="U5" s="19">
        <v>45925</v>
      </c>
      <c r="V5" s="19">
        <v>32511</v>
      </c>
      <c r="W5" s="18"/>
      <c r="X5" s="17" t="s">
        <v>63</v>
      </c>
      <c r="Y5" s="22">
        <f>K5*O5</f>
        <v>99998</v>
      </c>
      <c r="Z5" s="17"/>
      <c r="AA5" s="17" t="s">
        <v>64</v>
      </c>
      <c r="AB5" s="21">
        <f t="shared" ref="AB5:AB13" si="0">G5</f>
        <v>0</v>
      </c>
      <c r="AC5" s="2">
        <v>750000</v>
      </c>
      <c r="AD5" s="18"/>
    </row>
    <row r="6" spans="1:30" ht="75" x14ac:dyDescent="0.25">
      <c r="A6" s="17" t="s">
        <v>56</v>
      </c>
      <c r="B6" s="17" t="s">
        <v>57</v>
      </c>
      <c r="C6" s="17" t="s">
        <v>65</v>
      </c>
      <c r="D6" s="18" t="s">
        <v>292</v>
      </c>
      <c r="E6" s="19">
        <v>45560</v>
      </c>
      <c r="F6" s="19">
        <v>47751</v>
      </c>
      <c r="G6" s="19"/>
      <c r="H6" s="17"/>
      <c r="I6" s="17" t="s">
        <v>59</v>
      </c>
      <c r="J6" s="17" t="s">
        <v>60</v>
      </c>
      <c r="K6" s="17">
        <v>1</v>
      </c>
      <c r="L6" s="17"/>
      <c r="M6" s="17" t="s">
        <v>35</v>
      </c>
      <c r="N6" s="19">
        <v>45925</v>
      </c>
      <c r="O6" s="17">
        <v>100000</v>
      </c>
      <c r="P6" s="17"/>
      <c r="Q6" s="17"/>
      <c r="R6" s="8">
        <v>100000</v>
      </c>
      <c r="S6" s="17" t="s">
        <v>35</v>
      </c>
      <c r="T6" s="17" t="s">
        <v>62</v>
      </c>
      <c r="U6" s="19">
        <v>45925</v>
      </c>
      <c r="V6" s="19">
        <v>32511</v>
      </c>
      <c r="W6" s="18"/>
      <c r="X6" s="17" t="s">
        <v>63</v>
      </c>
      <c r="Y6" s="22">
        <f>K6*O6</f>
        <v>100000</v>
      </c>
      <c r="Z6" s="17"/>
      <c r="AA6" s="17" t="s">
        <v>64</v>
      </c>
      <c r="AB6" s="21">
        <f t="shared" si="0"/>
        <v>0</v>
      </c>
      <c r="AC6" s="2">
        <v>750000</v>
      </c>
      <c r="AD6" s="18"/>
    </row>
    <row r="7" spans="1:30" ht="60" x14ac:dyDescent="0.25">
      <c r="A7" s="17" t="s">
        <v>56</v>
      </c>
      <c r="B7" s="17" t="s">
        <v>66</v>
      </c>
      <c r="C7" s="17" t="s">
        <v>67</v>
      </c>
      <c r="D7" s="18" t="s">
        <v>68</v>
      </c>
      <c r="E7" s="19">
        <v>45307</v>
      </c>
      <c r="F7" s="19"/>
      <c r="G7" s="19"/>
      <c r="H7" s="17"/>
      <c r="I7" s="17"/>
      <c r="J7" s="17" t="s">
        <v>60</v>
      </c>
      <c r="K7" s="17">
        <v>2</v>
      </c>
      <c r="L7" s="17"/>
      <c r="M7" s="17" t="s">
        <v>35</v>
      </c>
      <c r="N7" s="19">
        <v>46038</v>
      </c>
      <c r="O7" s="17">
        <v>50000</v>
      </c>
      <c r="P7" s="17"/>
      <c r="Q7" s="17"/>
      <c r="R7" s="8">
        <v>50000</v>
      </c>
      <c r="S7" s="17"/>
      <c r="T7" s="17"/>
      <c r="U7" s="19"/>
      <c r="V7" s="19"/>
      <c r="W7" s="18"/>
      <c r="X7" s="17"/>
      <c r="Y7" s="22">
        <f>K7*O7</f>
        <v>100000</v>
      </c>
      <c r="Z7" s="17" t="s">
        <v>69</v>
      </c>
      <c r="AA7" s="17" t="s">
        <v>70</v>
      </c>
      <c r="AB7" s="21">
        <f t="shared" si="0"/>
        <v>0</v>
      </c>
      <c r="AC7" s="2">
        <v>0</v>
      </c>
      <c r="AD7" s="18"/>
    </row>
    <row r="8" spans="1:30" ht="60" x14ac:dyDescent="0.25">
      <c r="A8" s="17" t="s">
        <v>56</v>
      </c>
      <c r="B8" s="17" t="s">
        <v>71</v>
      </c>
      <c r="C8" s="17" t="s">
        <v>72</v>
      </c>
      <c r="D8" s="18" t="s">
        <v>73</v>
      </c>
      <c r="E8" s="19">
        <v>45427</v>
      </c>
      <c r="F8" s="19">
        <v>11093</v>
      </c>
      <c r="G8" s="19">
        <v>58351</v>
      </c>
      <c r="H8" s="17">
        <v>9108134</v>
      </c>
      <c r="I8" s="17" t="s">
        <v>74</v>
      </c>
      <c r="J8" s="17" t="s">
        <v>75</v>
      </c>
      <c r="K8" s="17">
        <v>1</v>
      </c>
      <c r="L8" s="17" t="s">
        <v>76</v>
      </c>
      <c r="M8" s="17" t="s">
        <v>35</v>
      </c>
      <c r="N8" s="21">
        <v>45792</v>
      </c>
      <c r="O8" s="17">
        <v>125000</v>
      </c>
      <c r="P8" s="17">
        <v>125000</v>
      </c>
      <c r="Q8" s="17">
        <v>0</v>
      </c>
      <c r="R8" s="8">
        <v>0</v>
      </c>
      <c r="S8" s="17" t="s">
        <v>53</v>
      </c>
      <c r="T8" s="17" t="s">
        <v>54</v>
      </c>
      <c r="U8" s="19">
        <v>45792</v>
      </c>
      <c r="V8" s="19">
        <v>31564</v>
      </c>
      <c r="W8" s="17"/>
      <c r="X8" s="25" t="s">
        <v>77</v>
      </c>
      <c r="Y8" s="22">
        <v>125000</v>
      </c>
      <c r="Z8" s="17" t="s">
        <v>78</v>
      </c>
      <c r="AA8" s="17"/>
      <c r="AB8" s="21">
        <f t="shared" si="0"/>
        <v>58351</v>
      </c>
      <c r="AC8" s="2">
        <v>950000</v>
      </c>
      <c r="AD8" s="18"/>
    </row>
    <row r="9" spans="1:30" ht="30" x14ac:dyDescent="0.25">
      <c r="A9" s="17" t="s">
        <v>56</v>
      </c>
      <c r="B9" s="17" t="s">
        <v>79</v>
      </c>
      <c r="C9" s="17" t="s">
        <v>80</v>
      </c>
      <c r="D9" s="18">
        <v>875907763</v>
      </c>
      <c r="E9" s="19">
        <v>42726</v>
      </c>
      <c r="F9" s="19">
        <v>50031</v>
      </c>
      <c r="G9" s="19">
        <v>50396</v>
      </c>
      <c r="H9" s="17">
        <v>8152121</v>
      </c>
      <c r="I9" s="17" t="s">
        <v>81</v>
      </c>
      <c r="J9" s="17" t="s">
        <v>81</v>
      </c>
      <c r="K9" s="17">
        <v>9</v>
      </c>
      <c r="L9" s="17" t="s">
        <v>82</v>
      </c>
      <c r="M9" s="17" t="s">
        <v>35</v>
      </c>
      <c r="N9" s="21">
        <v>46013</v>
      </c>
      <c r="O9" s="17" t="s">
        <v>83</v>
      </c>
      <c r="P9" s="17">
        <v>40182</v>
      </c>
      <c r="Q9" s="17">
        <v>904.1</v>
      </c>
      <c r="R9" s="8">
        <v>41086.1</v>
      </c>
      <c r="S9" s="17" t="s">
        <v>53</v>
      </c>
      <c r="T9" s="17" t="s">
        <v>54</v>
      </c>
      <c r="U9" s="19">
        <f t="shared" ref="U9:U12" ca="1" si="1">IF(TODAY() &lt; DATE(YEAR(TODAY()),MONTH(N9),DAY(N9)),DATE(YEAR(TODAY()),MONTH(N9),DAY(N9)),DATE(YEAR(TODAY())+1,MONTH(N9),DAY(N9)))</f>
        <v>46378</v>
      </c>
      <c r="V9" s="19"/>
      <c r="W9" s="17"/>
      <c r="X9" s="26" t="s">
        <v>84</v>
      </c>
      <c r="Y9" s="27">
        <f t="shared" ref="Y9:Y12" si="2">K9*R9</f>
        <v>369774.89999999997</v>
      </c>
      <c r="Z9" s="26" t="s">
        <v>85</v>
      </c>
      <c r="AA9" s="26" t="s">
        <v>64</v>
      </c>
      <c r="AB9" s="28">
        <f t="shared" si="0"/>
        <v>50396</v>
      </c>
      <c r="AC9" s="7">
        <v>1200000</v>
      </c>
      <c r="AD9" s="18"/>
    </row>
    <row r="10" spans="1:30" ht="30" x14ac:dyDescent="0.25">
      <c r="A10" s="17" t="s">
        <v>56</v>
      </c>
      <c r="B10" s="17" t="s">
        <v>79</v>
      </c>
      <c r="C10" s="17" t="s">
        <v>86</v>
      </c>
      <c r="D10" s="18">
        <v>879247508</v>
      </c>
      <c r="E10" s="19">
        <v>41088</v>
      </c>
      <c r="F10" s="19">
        <v>48393</v>
      </c>
      <c r="G10" s="19">
        <v>48393</v>
      </c>
      <c r="H10" s="17" t="s">
        <v>87</v>
      </c>
      <c r="I10" s="17" t="s">
        <v>59</v>
      </c>
      <c r="J10" s="17" t="s">
        <v>59</v>
      </c>
      <c r="K10" s="17">
        <v>13</v>
      </c>
      <c r="L10" s="17" t="s">
        <v>88</v>
      </c>
      <c r="M10" s="17" t="s">
        <v>89</v>
      </c>
      <c r="N10" s="21">
        <v>45744</v>
      </c>
      <c r="O10" s="17" t="s">
        <v>90</v>
      </c>
      <c r="P10" s="17">
        <v>3000.5</v>
      </c>
      <c r="Q10" s="17">
        <v>62.5</v>
      </c>
      <c r="R10" s="8">
        <v>3063</v>
      </c>
      <c r="S10" s="17" t="s">
        <v>53</v>
      </c>
      <c r="T10" s="17" t="s">
        <v>54</v>
      </c>
      <c r="U10" s="19">
        <f t="shared" ca="1" si="1"/>
        <v>46474</v>
      </c>
      <c r="V10" s="19"/>
      <c r="W10" s="17"/>
      <c r="X10" s="26" t="s">
        <v>84</v>
      </c>
      <c r="Y10" s="27">
        <f t="shared" si="2"/>
        <v>39819</v>
      </c>
      <c r="Z10" s="26" t="s">
        <v>85</v>
      </c>
      <c r="AA10" s="26" t="s">
        <v>64</v>
      </c>
      <c r="AB10" s="28">
        <f t="shared" si="0"/>
        <v>48393</v>
      </c>
      <c r="AC10" s="7">
        <v>100000</v>
      </c>
      <c r="AD10" s="18"/>
    </row>
    <row r="11" spans="1:30" ht="30" x14ac:dyDescent="0.25">
      <c r="A11" s="17" t="s">
        <v>56</v>
      </c>
      <c r="B11" s="17" t="s">
        <v>79</v>
      </c>
      <c r="C11" s="17" t="s">
        <v>91</v>
      </c>
      <c r="D11" s="18">
        <v>879247509</v>
      </c>
      <c r="E11" s="19">
        <v>41088</v>
      </c>
      <c r="F11" s="19">
        <v>48666</v>
      </c>
      <c r="G11" s="19">
        <v>48666</v>
      </c>
      <c r="H11" s="17" t="s">
        <v>92</v>
      </c>
      <c r="I11" s="17" t="s">
        <v>81</v>
      </c>
      <c r="J11" s="17" t="s">
        <v>81</v>
      </c>
      <c r="K11" s="17">
        <v>13</v>
      </c>
      <c r="L11" s="17">
        <v>300000</v>
      </c>
      <c r="M11" s="17" t="s">
        <v>89</v>
      </c>
      <c r="N11" s="21">
        <v>45744</v>
      </c>
      <c r="O11" s="17">
        <v>3893</v>
      </c>
      <c r="P11" s="17">
        <v>3805.4</v>
      </c>
      <c r="Q11" s="17">
        <v>87.6</v>
      </c>
      <c r="R11" s="8">
        <v>3893</v>
      </c>
      <c r="S11" s="17" t="s">
        <v>53</v>
      </c>
      <c r="T11" s="17" t="s">
        <v>54</v>
      </c>
      <c r="U11" s="19">
        <f t="shared" ca="1" si="1"/>
        <v>46474</v>
      </c>
      <c r="V11" s="19"/>
      <c r="W11" s="17"/>
      <c r="X11" s="26" t="s">
        <v>84</v>
      </c>
      <c r="Y11" s="27">
        <f t="shared" si="2"/>
        <v>50609</v>
      </c>
      <c r="Z11" s="26" t="s">
        <v>85</v>
      </c>
      <c r="AA11" s="26" t="s">
        <v>64</v>
      </c>
      <c r="AB11" s="28">
        <f t="shared" si="0"/>
        <v>48666</v>
      </c>
      <c r="AC11" s="7">
        <v>100000</v>
      </c>
      <c r="AD11" s="18"/>
    </row>
    <row r="12" spans="1:30" ht="30" x14ac:dyDescent="0.25">
      <c r="A12" s="17" t="s">
        <v>56</v>
      </c>
      <c r="B12" s="17" t="s">
        <v>93</v>
      </c>
      <c r="C12" s="17" t="s">
        <v>94</v>
      </c>
      <c r="D12" s="18" t="s">
        <v>95</v>
      </c>
      <c r="E12" s="19">
        <v>43647</v>
      </c>
      <c r="F12" s="19">
        <v>45747</v>
      </c>
      <c r="G12" s="19">
        <v>49399</v>
      </c>
      <c r="H12" s="17">
        <v>374742847</v>
      </c>
      <c r="I12" s="17" t="s">
        <v>96</v>
      </c>
      <c r="J12" s="17" t="s">
        <v>96</v>
      </c>
      <c r="K12" s="17">
        <v>6</v>
      </c>
      <c r="L12" s="17" t="s">
        <v>54</v>
      </c>
      <c r="M12" s="17" t="s">
        <v>35</v>
      </c>
      <c r="N12" s="21">
        <v>45748</v>
      </c>
      <c r="O12" s="17">
        <v>150000</v>
      </c>
      <c r="P12" s="17">
        <v>150000</v>
      </c>
      <c r="Q12" s="17">
        <v>0</v>
      </c>
      <c r="R12" s="8">
        <v>150000</v>
      </c>
      <c r="S12" s="17" t="s">
        <v>53</v>
      </c>
      <c r="T12" s="17" t="s">
        <v>54</v>
      </c>
      <c r="U12" s="19">
        <f t="shared" ca="1" si="1"/>
        <v>46113</v>
      </c>
      <c r="V12" s="19">
        <v>32511</v>
      </c>
      <c r="W12" s="17"/>
      <c r="X12" s="17" t="s">
        <v>97</v>
      </c>
      <c r="Y12" s="22">
        <f t="shared" si="2"/>
        <v>900000</v>
      </c>
      <c r="Z12" s="17" t="s">
        <v>98</v>
      </c>
      <c r="AA12" s="17" t="s">
        <v>64</v>
      </c>
      <c r="AB12" s="21">
        <f t="shared" si="0"/>
        <v>49399</v>
      </c>
      <c r="AC12" s="2">
        <v>2000000</v>
      </c>
      <c r="AD12" s="18"/>
    </row>
    <row r="13" spans="1:30" ht="30" x14ac:dyDescent="0.25">
      <c r="A13" s="17" t="s">
        <v>56</v>
      </c>
      <c r="B13" s="17" t="s">
        <v>71</v>
      </c>
      <c r="C13" s="17" t="s">
        <v>72</v>
      </c>
      <c r="D13" s="18" t="s">
        <v>99</v>
      </c>
      <c r="E13" s="19">
        <v>43376</v>
      </c>
      <c r="F13" s="19">
        <v>44837</v>
      </c>
      <c r="G13" s="19">
        <v>48855</v>
      </c>
      <c r="H13" s="17">
        <v>9108079</v>
      </c>
      <c r="I13" s="17" t="s">
        <v>96</v>
      </c>
      <c r="J13" s="17" t="s">
        <v>100</v>
      </c>
      <c r="K13" s="17">
        <v>5</v>
      </c>
      <c r="L13" s="17">
        <v>1000000</v>
      </c>
      <c r="M13" s="17" t="s">
        <v>35</v>
      </c>
      <c r="N13" s="21">
        <v>44837</v>
      </c>
      <c r="O13" s="17">
        <v>100000</v>
      </c>
      <c r="P13" s="17">
        <v>98886.56</v>
      </c>
      <c r="Q13" s="17">
        <v>1113.44</v>
      </c>
      <c r="R13" s="8">
        <v>0</v>
      </c>
      <c r="S13" s="17" t="s">
        <v>53</v>
      </c>
      <c r="T13" s="17" t="s">
        <v>54</v>
      </c>
      <c r="U13" s="19"/>
      <c r="V13" s="19">
        <v>31844</v>
      </c>
      <c r="W13" s="17"/>
      <c r="X13" s="25" t="s">
        <v>101</v>
      </c>
      <c r="Y13" s="22">
        <v>500000</v>
      </c>
      <c r="Z13" s="17" t="s">
        <v>85</v>
      </c>
      <c r="AA13" s="17"/>
      <c r="AB13" s="21">
        <f t="shared" si="0"/>
        <v>48855</v>
      </c>
      <c r="AC13" s="2">
        <v>600000</v>
      </c>
      <c r="AD13" s="18"/>
    </row>
    <row r="14" spans="1:30" ht="30" x14ac:dyDescent="0.25">
      <c r="A14" s="17" t="s">
        <v>56</v>
      </c>
      <c r="B14" s="17" t="s">
        <v>102</v>
      </c>
      <c r="C14" s="17" t="s">
        <v>102</v>
      </c>
      <c r="D14" s="18" t="s">
        <v>103</v>
      </c>
      <c r="E14" s="19">
        <v>45260</v>
      </c>
      <c r="F14" s="19">
        <v>12023</v>
      </c>
      <c r="G14" s="19">
        <v>23711</v>
      </c>
      <c r="H14" s="17"/>
      <c r="I14" s="17" t="s">
        <v>104</v>
      </c>
      <c r="J14" s="17" t="s">
        <v>105</v>
      </c>
      <c r="K14" s="17">
        <v>2</v>
      </c>
      <c r="L14" s="17">
        <v>919206</v>
      </c>
      <c r="M14" s="17" t="s">
        <v>35</v>
      </c>
      <c r="N14" s="19">
        <v>45991</v>
      </c>
      <c r="O14" s="17">
        <v>0</v>
      </c>
      <c r="P14" s="17">
        <v>0</v>
      </c>
      <c r="Q14" s="17">
        <v>0</v>
      </c>
      <c r="R14" s="8">
        <v>104500</v>
      </c>
      <c r="S14" s="17" t="s">
        <v>53</v>
      </c>
      <c r="T14" s="17" t="s">
        <v>54</v>
      </c>
      <c r="U14" s="19">
        <f t="shared" ref="U14:U18" ca="1" si="3">IF(TODAY() &lt; DATE(YEAR(TODAY()),MONTH(N14),DAY(N14)),DATE(YEAR(TODAY()),MONTH(N14),DAY(N14)),DATE(YEAR(TODAY())+1,MONTH(N14),DAY(N14)))</f>
        <v>46356</v>
      </c>
      <c r="V14" s="19"/>
      <c r="W14" s="17"/>
      <c r="X14" s="17"/>
      <c r="Y14" s="22">
        <f t="shared" ref="Y14:Y18" si="4">K14*R14</f>
        <v>209000</v>
      </c>
      <c r="Z14" s="17" t="s">
        <v>85</v>
      </c>
      <c r="AA14" s="17"/>
      <c r="AB14" s="21">
        <v>60236</v>
      </c>
      <c r="AC14" s="2">
        <v>2000000</v>
      </c>
      <c r="AD14" s="18"/>
    </row>
    <row r="15" spans="1:30" ht="45" x14ac:dyDescent="0.25">
      <c r="A15" s="17" t="s">
        <v>56</v>
      </c>
      <c r="B15" s="17" t="s">
        <v>106</v>
      </c>
      <c r="C15" s="17" t="s">
        <v>107</v>
      </c>
      <c r="D15" s="18" t="s">
        <v>108</v>
      </c>
      <c r="E15" s="19">
        <v>45645</v>
      </c>
      <c r="F15" s="19">
        <v>46009</v>
      </c>
      <c r="G15" s="19">
        <v>46009</v>
      </c>
      <c r="H15" s="17" t="s">
        <v>109</v>
      </c>
      <c r="I15" s="17" t="s">
        <v>46</v>
      </c>
      <c r="J15" s="17" t="s">
        <v>46</v>
      </c>
      <c r="K15" s="17">
        <v>1</v>
      </c>
      <c r="L15" s="17">
        <v>21142</v>
      </c>
      <c r="M15" s="17" t="s">
        <v>35</v>
      </c>
      <c r="N15" s="21">
        <v>46009</v>
      </c>
      <c r="O15" s="17" t="s">
        <v>110</v>
      </c>
      <c r="P15" s="17">
        <v>1269</v>
      </c>
      <c r="Q15" s="17">
        <v>228</v>
      </c>
      <c r="R15" s="8">
        <f>P15+Q15</f>
        <v>1497</v>
      </c>
      <c r="S15" s="17" t="s">
        <v>53</v>
      </c>
      <c r="T15" s="17" t="s">
        <v>54</v>
      </c>
      <c r="U15" s="19">
        <f t="shared" ca="1" si="3"/>
        <v>46374</v>
      </c>
      <c r="V15" s="19"/>
      <c r="W15" s="17"/>
      <c r="X15" s="17" t="s">
        <v>111</v>
      </c>
      <c r="Y15" s="22">
        <f t="shared" si="4"/>
        <v>1497</v>
      </c>
      <c r="Z15" s="17"/>
      <c r="AA15" s="17"/>
      <c r="AB15" s="21">
        <f>G15</f>
        <v>46009</v>
      </c>
      <c r="AC15" s="2">
        <v>20000</v>
      </c>
      <c r="AD15" s="18"/>
    </row>
    <row r="16" spans="1:30" ht="45" x14ac:dyDescent="0.25">
      <c r="A16" s="17" t="s">
        <v>56</v>
      </c>
      <c r="B16" s="17" t="s">
        <v>112</v>
      </c>
      <c r="C16" s="17" t="s">
        <v>113</v>
      </c>
      <c r="D16" s="18" t="s">
        <v>114</v>
      </c>
      <c r="E16" s="19">
        <v>45358</v>
      </c>
      <c r="F16" s="19">
        <v>45722</v>
      </c>
      <c r="G16" s="19">
        <v>45722</v>
      </c>
      <c r="H16" s="17" t="s">
        <v>115</v>
      </c>
      <c r="I16" s="17" t="s">
        <v>46</v>
      </c>
      <c r="J16" s="17" t="s">
        <v>46</v>
      </c>
      <c r="K16" s="17">
        <v>1</v>
      </c>
      <c r="L16" s="17">
        <v>213000</v>
      </c>
      <c r="M16" s="17" t="s">
        <v>35</v>
      </c>
      <c r="N16" s="21">
        <v>45722</v>
      </c>
      <c r="O16" s="17"/>
      <c r="P16" s="17"/>
      <c r="Q16" s="17"/>
      <c r="R16" s="8">
        <v>6520</v>
      </c>
      <c r="S16" s="17" t="s">
        <v>53</v>
      </c>
      <c r="T16" s="17" t="s">
        <v>54</v>
      </c>
      <c r="U16" s="19">
        <f t="shared" ca="1" si="3"/>
        <v>46452</v>
      </c>
      <c r="V16" s="19"/>
      <c r="W16" s="17"/>
      <c r="X16" s="17" t="s">
        <v>116</v>
      </c>
      <c r="Y16" s="22">
        <f t="shared" si="4"/>
        <v>6520</v>
      </c>
      <c r="Z16" s="17"/>
      <c r="AA16" s="17"/>
      <c r="AB16" s="21"/>
      <c r="AC16" s="2">
        <v>200000</v>
      </c>
      <c r="AD16" s="18"/>
    </row>
    <row r="17" spans="1:30" ht="45" x14ac:dyDescent="0.25">
      <c r="A17" s="17" t="s">
        <v>56</v>
      </c>
      <c r="B17" s="17" t="s">
        <v>117</v>
      </c>
      <c r="C17" s="17" t="s">
        <v>118</v>
      </c>
      <c r="D17" s="18" t="s">
        <v>119</v>
      </c>
      <c r="E17" s="19">
        <v>45628</v>
      </c>
      <c r="F17" s="19">
        <v>45992</v>
      </c>
      <c r="G17" s="19">
        <v>45992</v>
      </c>
      <c r="H17" s="17">
        <v>333574327</v>
      </c>
      <c r="I17" s="17" t="s">
        <v>46</v>
      </c>
      <c r="J17" s="17" t="s">
        <v>46</v>
      </c>
      <c r="K17" s="17">
        <v>1</v>
      </c>
      <c r="L17" s="17">
        <v>500000</v>
      </c>
      <c r="M17" s="17" t="s">
        <v>35</v>
      </c>
      <c r="N17" s="21">
        <v>45992</v>
      </c>
      <c r="O17" s="17">
        <v>338</v>
      </c>
      <c r="P17" s="17">
        <v>338</v>
      </c>
      <c r="Q17" s="17">
        <v>60</v>
      </c>
      <c r="R17" s="8">
        <f>P17+Q17</f>
        <v>398</v>
      </c>
      <c r="S17" s="17" t="s">
        <v>53</v>
      </c>
      <c r="T17" s="17" t="s">
        <v>54</v>
      </c>
      <c r="U17" s="19">
        <f t="shared" ca="1" si="3"/>
        <v>46357</v>
      </c>
      <c r="V17" s="19">
        <v>32511</v>
      </c>
      <c r="W17" s="17"/>
      <c r="X17" s="17" t="s">
        <v>120</v>
      </c>
      <c r="Y17" s="22">
        <f t="shared" si="4"/>
        <v>398</v>
      </c>
      <c r="Z17" s="17" t="s">
        <v>121</v>
      </c>
      <c r="AA17" s="17"/>
      <c r="AB17" s="21">
        <f t="shared" ref="AB17:AB28" si="5">G17</f>
        <v>45992</v>
      </c>
      <c r="AC17" s="2">
        <v>0</v>
      </c>
      <c r="AD17" s="18"/>
    </row>
    <row r="18" spans="1:30" ht="30" x14ac:dyDescent="0.25">
      <c r="A18" s="17" t="s">
        <v>122</v>
      </c>
      <c r="B18" s="17" t="s">
        <v>79</v>
      </c>
      <c r="C18" s="17" t="s">
        <v>86</v>
      </c>
      <c r="D18" s="18">
        <v>877940571</v>
      </c>
      <c r="E18" s="19">
        <v>40625</v>
      </c>
      <c r="F18" s="19">
        <v>51218</v>
      </c>
      <c r="G18" s="19">
        <v>51583</v>
      </c>
      <c r="H18" s="17" t="s">
        <v>123</v>
      </c>
      <c r="I18" s="17" t="s">
        <v>124</v>
      </c>
      <c r="J18" s="17" t="s">
        <v>124</v>
      </c>
      <c r="K18" s="17">
        <v>14</v>
      </c>
      <c r="L18" s="17">
        <v>525000</v>
      </c>
      <c r="M18" s="17" t="s">
        <v>89</v>
      </c>
      <c r="N18" s="21">
        <v>45739</v>
      </c>
      <c r="O18" s="17" t="s">
        <v>125</v>
      </c>
      <c r="P18" s="17">
        <v>6299.75</v>
      </c>
      <c r="Q18" s="17">
        <v>131.25</v>
      </c>
      <c r="R18" s="8">
        <v>6431</v>
      </c>
      <c r="S18" s="17" t="s">
        <v>53</v>
      </c>
      <c r="T18" s="17" t="s">
        <v>54</v>
      </c>
      <c r="U18" s="19">
        <f t="shared" ca="1" si="3"/>
        <v>46469</v>
      </c>
      <c r="V18" s="19">
        <v>31564</v>
      </c>
      <c r="W18" s="17"/>
      <c r="X18" s="26" t="s">
        <v>84</v>
      </c>
      <c r="Y18" s="27">
        <f t="shared" si="4"/>
        <v>90034</v>
      </c>
      <c r="Z18" s="26" t="s">
        <v>78</v>
      </c>
      <c r="AA18" s="26" t="s">
        <v>64</v>
      </c>
      <c r="AB18" s="28">
        <f t="shared" si="5"/>
        <v>51583</v>
      </c>
      <c r="AC18" s="7">
        <v>300000</v>
      </c>
      <c r="AD18" s="18"/>
    </row>
    <row r="19" spans="1:30" ht="45" x14ac:dyDescent="0.25">
      <c r="A19" s="17" t="s">
        <v>122</v>
      </c>
      <c r="B19" s="17" t="s">
        <v>71</v>
      </c>
      <c r="C19" s="17" t="s">
        <v>126</v>
      </c>
      <c r="D19" s="18">
        <v>27221079</v>
      </c>
      <c r="E19" s="19">
        <v>43376</v>
      </c>
      <c r="F19" s="19">
        <v>44837</v>
      </c>
      <c r="G19" s="19">
        <v>48855</v>
      </c>
      <c r="H19" s="17">
        <v>9108134</v>
      </c>
      <c r="I19" s="17" t="s">
        <v>96</v>
      </c>
      <c r="J19" s="17" t="s">
        <v>100</v>
      </c>
      <c r="K19" s="17">
        <v>5</v>
      </c>
      <c r="L19" s="17">
        <v>1000000</v>
      </c>
      <c r="M19" s="17" t="s">
        <v>35</v>
      </c>
      <c r="N19" s="21">
        <v>44837</v>
      </c>
      <c r="O19" s="17">
        <v>100000</v>
      </c>
      <c r="P19" s="17">
        <v>98886.56</v>
      </c>
      <c r="Q19" s="17">
        <v>1113.44</v>
      </c>
      <c r="R19" s="8">
        <v>0</v>
      </c>
      <c r="S19" s="17" t="s">
        <v>53</v>
      </c>
      <c r="T19" s="17" t="s">
        <v>54</v>
      </c>
      <c r="U19" s="19"/>
      <c r="V19" s="19">
        <v>31564</v>
      </c>
      <c r="W19" s="17"/>
      <c r="X19" s="25" t="s">
        <v>127</v>
      </c>
      <c r="Y19" s="22">
        <v>500000</v>
      </c>
      <c r="Z19" s="17" t="s">
        <v>78</v>
      </c>
      <c r="AA19" s="17" t="s">
        <v>64</v>
      </c>
      <c r="AB19" s="21">
        <f t="shared" si="5"/>
        <v>48855</v>
      </c>
      <c r="AC19" s="2">
        <v>600000</v>
      </c>
      <c r="AD19" s="18"/>
    </row>
    <row r="20" spans="1:30" ht="45" x14ac:dyDescent="0.25">
      <c r="A20" s="17" t="s">
        <v>122</v>
      </c>
      <c r="B20" s="17" t="s">
        <v>71</v>
      </c>
      <c r="C20" s="17" t="s">
        <v>72</v>
      </c>
      <c r="D20" s="18" t="s">
        <v>128</v>
      </c>
      <c r="E20" s="19">
        <v>44926</v>
      </c>
      <c r="F20" s="19">
        <v>46387</v>
      </c>
      <c r="G20" s="19">
        <v>50405</v>
      </c>
      <c r="H20" s="17">
        <v>9108134</v>
      </c>
      <c r="I20" s="17" t="s">
        <v>96</v>
      </c>
      <c r="J20" s="17" t="s">
        <v>100</v>
      </c>
      <c r="K20" s="17">
        <v>3</v>
      </c>
      <c r="L20" s="17">
        <v>1000000</v>
      </c>
      <c r="M20" s="17" t="s">
        <v>35</v>
      </c>
      <c r="N20" s="21">
        <v>45291</v>
      </c>
      <c r="O20" s="17">
        <v>100000</v>
      </c>
      <c r="P20" s="17">
        <v>98886.56</v>
      </c>
      <c r="Q20" s="17">
        <v>1113.44</v>
      </c>
      <c r="R20" s="8">
        <f>P20+Q20</f>
        <v>100000</v>
      </c>
      <c r="S20" s="17" t="s">
        <v>53</v>
      </c>
      <c r="T20" s="17" t="s">
        <v>54</v>
      </c>
      <c r="U20" s="19">
        <v>45291</v>
      </c>
      <c r="V20" s="19">
        <v>31564</v>
      </c>
      <c r="W20" s="17"/>
      <c r="X20" s="17" t="s">
        <v>129</v>
      </c>
      <c r="Y20" s="22">
        <f>K20*R20</f>
        <v>300000</v>
      </c>
      <c r="Z20" s="17" t="s">
        <v>78</v>
      </c>
      <c r="AA20" s="17"/>
      <c r="AB20" s="21">
        <f t="shared" si="5"/>
        <v>50405</v>
      </c>
      <c r="AC20" s="2">
        <v>600000</v>
      </c>
      <c r="AD20" s="18"/>
    </row>
    <row r="21" spans="1:30" ht="30" x14ac:dyDescent="0.25">
      <c r="A21" s="17" t="s">
        <v>122</v>
      </c>
      <c r="B21" s="17" t="s">
        <v>130</v>
      </c>
      <c r="C21" s="17" t="s">
        <v>131</v>
      </c>
      <c r="D21" s="18" t="s">
        <v>132</v>
      </c>
      <c r="E21" s="19">
        <v>43387</v>
      </c>
      <c r="F21" s="19">
        <v>46674</v>
      </c>
      <c r="G21" s="19">
        <v>50692</v>
      </c>
      <c r="H21" s="17" t="s">
        <v>133</v>
      </c>
      <c r="I21" s="17" t="s">
        <v>59</v>
      </c>
      <c r="J21" s="17" t="s">
        <v>134</v>
      </c>
      <c r="K21" s="17">
        <v>7</v>
      </c>
      <c r="L21" s="17">
        <v>495652</v>
      </c>
      <c r="M21" s="17" t="s">
        <v>35</v>
      </c>
      <c r="N21" s="21">
        <v>45944</v>
      </c>
      <c r="O21" s="17">
        <v>25662</v>
      </c>
      <c r="P21" s="17">
        <v>25662</v>
      </c>
      <c r="Q21" s="17">
        <v>0</v>
      </c>
      <c r="R21" s="8">
        <v>25662</v>
      </c>
      <c r="S21" s="17" t="s">
        <v>35</v>
      </c>
      <c r="T21" s="17" t="s">
        <v>130</v>
      </c>
      <c r="U21" s="19">
        <f ca="1">IF(TODAY() &lt; DATE(YEAR(TODAY()),MONTH(N21),DAY(N21)),DATE(YEAR(TODAY()),MONTH(N21),DAY(N21)),DATE(YEAR(TODAY())+1,MONTH(N21),DAY(N21)))</f>
        <v>46309</v>
      </c>
      <c r="V21" s="19">
        <v>31564</v>
      </c>
      <c r="W21" s="17"/>
      <c r="X21" s="17"/>
      <c r="Y21" s="22">
        <f>K21*R21</f>
        <v>179634</v>
      </c>
      <c r="Z21" s="17" t="s">
        <v>78</v>
      </c>
      <c r="AA21" s="17"/>
      <c r="AB21" s="21">
        <f t="shared" si="5"/>
        <v>50692</v>
      </c>
      <c r="AC21" s="2">
        <v>350000</v>
      </c>
      <c r="AD21" s="18"/>
    </row>
    <row r="22" spans="1:30" ht="30" x14ac:dyDescent="0.25">
      <c r="A22" s="17" t="s">
        <v>122</v>
      </c>
      <c r="B22" s="17" t="s">
        <v>135</v>
      </c>
      <c r="C22" s="17" t="s">
        <v>136</v>
      </c>
      <c r="D22" s="18" t="s">
        <v>137</v>
      </c>
      <c r="E22" s="19">
        <v>43281</v>
      </c>
      <c r="F22" s="19">
        <v>44742</v>
      </c>
      <c r="G22" s="19">
        <v>46934</v>
      </c>
      <c r="H22" s="17" t="s">
        <v>138</v>
      </c>
      <c r="I22" s="17" t="s">
        <v>134</v>
      </c>
      <c r="J22" s="17" t="s">
        <v>100</v>
      </c>
      <c r="K22" s="17">
        <v>5</v>
      </c>
      <c r="L22" s="17">
        <v>500000</v>
      </c>
      <c r="M22" s="17" t="s">
        <v>35</v>
      </c>
      <c r="N22" s="19">
        <v>44742</v>
      </c>
      <c r="O22" s="17">
        <v>50000</v>
      </c>
      <c r="P22" s="17">
        <v>50000</v>
      </c>
      <c r="Q22" s="17">
        <v>0</v>
      </c>
      <c r="R22" s="8">
        <v>0</v>
      </c>
      <c r="S22" s="17" t="s">
        <v>35</v>
      </c>
      <c r="T22" s="17" t="s">
        <v>135</v>
      </c>
      <c r="U22" s="19"/>
      <c r="V22" s="19">
        <v>31564</v>
      </c>
      <c r="W22" s="17">
        <v>30013515078</v>
      </c>
      <c r="X22" s="17"/>
      <c r="Y22" s="22">
        <v>250000</v>
      </c>
      <c r="Z22" s="17" t="s">
        <v>78</v>
      </c>
      <c r="AA22" s="17"/>
      <c r="AB22" s="21">
        <f t="shared" si="5"/>
        <v>46934</v>
      </c>
      <c r="AC22" s="2">
        <v>350000</v>
      </c>
      <c r="AD22" s="18"/>
    </row>
    <row r="23" spans="1:30" ht="60" x14ac:dyDescent="0.25">
      <c r="A23" s="17" t="s">
        <v>122</v>
      </c>
      <c r="B23" s="17" t="s">
        <v>71</v>
      </c>
      <c r="C23" s="17" t="s">
        <v>72</v>
      </c>
      <c r="D23" s="18" t="s">
        <v>139</v>
      </c>
      <c r="E23" s="19">
        <v>45427</v>
      </c>
      <c r="F23" s="19">
        <v>11093</v>
      </c>
      <c r="G23" s="19">
        <v>58351</v>
      </c>
      <c r="H23" s="17">
        <v>9108134</v>
      </c>
      <c r="I23" s="17" t="s">
        <v>74</v>
      </c>
      <c r="J23" s="17" t="s">
        <v>75</v>
      </c>
      <c r="K23" s="17">
        <v>1</v>
      </c>
      <c r="L23" s="17" t="s">
        <v>76</v>
      </c>
      <c r="M23" s="17" t="s">
        <v>35</v>
      </c>
      <c r="N23" s="21">
        <v>45792</v>
      </c>
      <c r="O23" s="17">
        <v>125000</v>
      </c>
      <c r="P23" s="17">
        <v>125000</v>
      </c>
      <c r="Q23" s="17">
        <v>0</v>
      </c>
      <c r="R23" s="8">
        <v>0</v>
      </c>
      <c r="S23" s="17" t="s">
        <v>53</v>
      </c>
      <c r="T23" s="17" t="s">
        <v>54</v>
      </c>
      <c r="U23" s="19">
        <v>45792</v>
      </c>
      <c r="V23" s="19">
        <v>31564</v>
      </c>
      <c r="W23" s="17"/>
      <c r="X23" s="25" t="s">
        <v>140</v>
      </c>
      <c r="Y23" s="22">
        <v>125000</v>
      </c>
      <c r="Z23" s="17" t="s">
        <v>78</v>
      </c>
      <c r="AA23" s="17"/>
      <c r="AB23" s="21">
        <f t="shared" si="5"/>
        <v>58351</v>
      </c>
      <c r="AC23" s="2">
        <v>950000</v>
      </c>
      <c r="AD23" s="18"/>
    </row>
    <row r="24" spans="1:30" ht="90" x14ac:dyDescent="0.25">
      <c r="A24" s="17" t="s">
        <v>122</v>
      </c>
      <c r="B24" s="17" t="s">
        <v>57</v>
      </c>
      <c r="C24" s="17" t="s">
        <v>141</v>
      </c>
      <c r="D24" s="18" t="s">
        <v>273</v>
      </c>
      <c r="E24" s="19">
        <v>45510</v>
      </c>
      <c r="F24" s="19">
        <v>47701</v>
      </c>
      <c r="G24" s="19">
        <v>52815</v>
      </c>
      <c r="H24" s="17"/>
      <c r="I24" s="17" t="s">
        <v>59</v>
      </c>
      <c r="J24" s="17" t="s">
        <v>142</v>
      </c>
      <c r="K24" s="17">
        <v>7</v>
      </c>
      <c r="L24" s="17"/>
      <c r="M24" s="17" t="s">
        <v>34</v>
      </c>
      <c r="N24" s="21" t="s">
        <v>143</v>
      </c>
      <c r="O24" s="17">
        <v>6000</v>
      </c>
      <c r="P24" s="17"/>
      <c r="Q24" s="17"/>
      <c r="R24" s="8">
        <v>72000</v>
      </c>
      <c r="S24" s="17" t="s">
        <v>35</v>
      </c>
      <c r="T24" s="17" t="s">
        <v>144</v>
      </c>
      <c r="U24" s="19" t="s">
        <v>37</v>
      </c>
      <c r="V24" s="19">
        <v>31564</v>
      </c>
      <c r="W24" s="17"/>
      <c r="X24" s="17" t="s">
        <v>63</v>
      </c>
      <c r="Y24" s="22">
        <f>K24*O24</f>
        <v>42000</v>
      </c>
      <c r="Z24" s="17"/>
      <c r="AA24" s="17" t="s">
        <v>64</v>
      </c>
      <c r="AB24" s="21">
        <f t="shared" si="5"/>
        <v>52815</v>
      </c>
      <c r="AC24" s="2">
        <v>450000</v>
      </c>
      <c r="AD24" s="18"/>
    </row>
    <row r="25" spans="1:30" ht="75" x14ac:dyDescent="0.25">
      <c r="A25" s="17" t="s">
        <v>122</v>
      </c>
      <c r="B25" s="17" t="s">
        <v>57</v>
      </c>
      <c r="C25" s="17" t="s">
        <v>145</v>
      </c>
      <c r="D25" s="18" t="s">
        <v>274</v>
      </c>
      <c r="E25" s="19">
        <v>45509</v>
      </c>
      <c r="F25" s="19">
        <v>47700</v>
      </c>
      <c r="G25" s="19">
        <v>52814</v>
      </c>
      <c r="H25" s="17"/>
      <c r="I25" s="17" t="s">
        <v>59</v>
      </c>
      <c r="J25" s="17" t="s">
        <v>142</v>
      </c>
      <c r="K25" s="17">
        <v>7</v>
      </c>
      <c r="L25" s="17"/>
      <c r="M25" s="17" t="s">
        <v>34</v>
      </c>
      <c r="N25" s="21" t="s">
        <v>146</v>
      </c>
      <c r="O25" s="17">
        <v>6000</v>
      </c>
      <c r="P25" s="17"/>
      <c r="Q25" s="17"/>
      <c r="R25" s="8">
        <v>72000</v>
      </c>
      <c r="S25" s="17" t="s">
        <v>35</v>
      </c>
      <c r="T25" s="17" t="s">
        <v>144</v>
      </c>
      <c r="U25" s="19" t="s">
        <v>37</v>
      </c>
      <c r="V25" s="19">
        <v>31564</v>
      </c>
      <c r="W25" s="17"/>
      <c r="X25" s="17" t="s">
        <v>63</v>
      </c>
      <c r="Y25" s="22">
        <f>K25*O25</f>
        <v>42000</v>
      </c>
      <c r="Z25" s="17"/>
      <c r="AA25" s="17" t="s">
        <v>64</v>
      </c>
      <c r="AB25" s="21">
        <f t="shared" si="5"/>
        <v>52814</v>
      </c>
      <c r="AC25" s="2">
        <v>450000</v>
      </c>
      <c r="AD25" s="18"/>
    </row>
    <row r="26" spans="1:30" ht="75" x14ac:dyDescent="0.25">
      <c r="A26" s="17" t="s">
        <v>122</v>
      </c>
      <c r="B26" s="17" t="s">
        <v>57</v>
      </c>
      <c r="C26" s="17" t="s">
        <v>147</v>
      </c>
      <c r="D26" s="18" t="s">
        <v>275</v>
      </c>
      <c r="E26" s="19">
        <v>45496</v>
      </c>
      <c r="F26" s="19">
        <v>47687</v>
      </c>
      <c r="G26" s="19"/>
      <c r="H26" s="17"/>
      <c r="I26" s="17" t="s">
        <v>59</v>
      </c>
      <c r="J26" s="17" t="s">
        <v>60</v>
      </c>
      <c r="K26" s="17">
        <v>1</v>
      </c>
      <c r="L26" s="17"/>
      <c r="M26" s="17" t="s">
        <v>34</v>
      </c>
      <c r="N26" s="21" t="s">
        <v>148</v>
      </c>
      <c r="O26" s="17">
        <v>10000</v>
      </c>
      <c r="P26" s="17"/>
      <c r="Q26" s="17"/>
      <c r="R26" s="8">
        <v>120000</v>
      </c>
      <c r="S26" s="17" t="s">
        <v>35</v>
      </c>
      <c r="T26" s="17" t="s">
        <v>144</v>
      </c>
      <c r="U26" s="19" t="s">
        <v>37</v>
      </c>
      <c r="V26" s="19">
        <v>31564</v>
      </c>
      <c r="W26" s="17"/>
      <c r="X26" s="17" t="s">
        <v>63</v>
      </c>
      <c r="Y26" s="22">
        <f>K26*O26</f>
        <v>10000</v>
      </c>
      <c r="Z26" s="17"/>
      <c r="AA26" s="17" t="s">
        <v>64</v>
      </c>
      <c r="AB26" s="21">
        <f t="shared" si="5"/>
        <v>0</v>
      </c>
      <c r="AC26" s="2">
        <v>800000</v>
      </c>
      <c r="AD26" s="18"/>
    </row>
    <row r="27" spans="1:30" ht="90" x14ac:dyDescent="0.25">
      <c r="A27" s="17" t="s">
        <v>122</v>
      </c>
      <c r="B27" s="17" t="s">
        <v>57</v>
      </c>
      <c r="C27" s="17" t="s">
        <v>149</v>
      </c>
      <c r="D27" s="18" t="s">
        <v>276</v>
      </c>
      <c r="E27" s="19">
        <v>45509</v>
      </c>
      <c r="F27" s="19">
        <v>47700</v>
      </c>
      <c r="G27" s="19">
        <v>52814</v>
      </c>
      <c r="H27" s="17"/>
      <c r="I27" s="17" t="s">
        <v>59</v>
      </c>
      <c r="J27" s="17" t="s">
        <v>142</v>
      </c>
      <c r="K27" s="17">
        <v>7</v>
      </c>
      <c r="L27" s="17"/>
      <c r="M27" s="17" t="s">
        <v>34</v>
      </c>
      <c r="N27" s="21" t="s">
        <v>146</v>
      </c>
      <c r="O27" s="17">
        <v>8000</v>
      </c>
      <c r="P27" s="17"/>
      <c r="Q27" s="17"/>
      <c r="R27" s="8">
        <v>96000</v>
      </c>
      <c r="S27" s="17" t="s">
        <v>35</v>
      </c>
      <c r="T27" s="17" t="s">
        <v>144</v>
      </c>
      <c r="U27" s="19" t="s">
        <v>37</v>
      </c>
      <c r="V27" s="19">
        <v>31564</v>
      </c>
      <c r="W27" s="17"/>
      <c r="X27" s="17" t="s">
        <v>63</v>
      </c>
      <c r="Y27" s="22">
        <f>K27*O27</f>
        <v>56000</v>
      </c>
      <c r="Z27" s="17"/>
      <c r="AA27" s="17" t="s">
        <v>64</v>
      </c>
      <c r="AB27" s="21">
        <f t="shared" si="5"/>
        <v>52814</v>
      </c>
      <c r="AC27" s="2">
        <v>750000</v>
      </c>
      <c r="AD27" s="18"/>
    </row>
    <row r="28" spans="1:30" ht="30" x14ac:dyDescent="0.25">
      <c r="A28" s="17" t="s">
        <v>150</v>
      </c>
      <c r="B28" s="17" t="s">
        <v>79</v>
      </c>
      <c r="C28" s="17" t="s">
        <v>80</v>
      </c>
      <c r="D28" s="18">
        <v>575912026</v>
      </c>
      <c r="E28" s="19">
        <v>42689</v>
      </c>
      <c r="F28" s="19">
        <v>48167</v>
      </c>
      <c r="G28" s="19">
        <v>48533</v>
      </c>
      <c r="H28" s="17">
        <v>8151616</v>
      </c>
      <c r="I28" s="17" t="s">
        <v>151</v>
      </c>
      <c r="J28" s="17" t="s">
        <v>151</v>
      </c>
      <c r="K28" s="17">
        <v>9</v>
      </c>
      <c r="L28" s="17">
        <v>440000</v>
      </c>
      <c r="M28" s="17" t="s">
        <v>35</v>
      </c>
      <c r="N28" s="21">
        <v>44150</v>
      </c>
      <c r="O28" s="17" t="s">
        <v>152</v>
      </c>
      <c r="P28" s="17">
        <v>38782</v>
      </c>
      <c r="Q28" s="17">
        <v>873</v>
      </c>
      <c r="R28" s="8">
        <f>P28+Q28</f>
        <v>39655</v>
      </c>
      <c r="S28" s="17" t="s">
        <v>53</v>
      </c>
      <c r="T28" s="17" t="s">
        <v>54</v>
      </c>
      <c r="U28" s="19">
        <f ca="1">IF(TODAY() &lt; DATE(YEAR(TODAY()),MONTH(N28),DAY(N28)),DATE(YEAR(TODAY()),MONTH(N28),DAY(N28)),DATE(YEAR(TODAY())+1,MONTH(N28),DAY(N28)))</f>
        <v>46341</v>
      </c>
      <c r="V28" s="19"/>
      <c r="W28" s="17"/>
      <c r="X28" s="26" t="s">
        <v>153</v>
      </c>
      <c r="Y28" s="27">
        <f t="shared" ref="Y28:Y33" si="6">K28*R28</f>
        <v>356895</v>
      </c>
      <c r="Z28" s="26" t="s">
        <v>121</v>
      </c>
      <c r="AA28" s="26" t="s">
        <v>64</v>
      </c>
      <c r="AB28" s="28">
        <f t="shared" si="5"/>
        <v>48533</v>
      </c>
      <c r="AC28" s="7">
        <v>735000</v>
      </c>
      <c r="AD28" s="18"/>
    </row>
    <row r="29" spans="1:30" ht="30" x14ac:dyDescent="0.25">
      <c r="A29" s="17" t="s">
        <v>150</v>
      </c>
      <c r="B29" s="17" t="s">
        <v>154</v>
      </c>
      <c r="C29" s="17" t="s">
        <v>155</v>
      </c>
      <c r="D29" s="18" t="s">
        <v>277</v>
      </c>
      <c r="E29" s="19"/>
      <c r="F29" s="19"/>
      <c r="G29" s="19"/>
      <c r="H29" s="17"/>
      <c r="I29" s="17"/>
      <c r="J29" s="17"/>
      <c r="K29" s="17">
        <v>1</v>
      </c>
      <c r="L29" s="17">
        <v>500000</v>
      </c>
      <c r="M29" s="17" t="s">
        <v>35</v>
      </c>
      <c r="N29" s="21"/>
      <c r="O29" s="17">
        <v>20</v>
      </c>
      <c r="P29" s="17"/>
      <c r="Q29" s="17"/>
      <c r="R29" s="8">
        <v>20</v>
      </c>
      <c r="S29" s="17" t="s">
        <v>35</v>
      </c>
      <c r="T29" s="17" t="s">
        <v>154</v>
      </c>
      <c r="U29" s="19">
        <v>45076</v>
      </c>
      <c r="V29" s="19">
        <v>24624</v>
      </c>
      <c r="W29" s="17"/>
      <c r="X29" s="17"/>
      <c r="Y29" s="22">
        <f t="shared" si="6"/>
        <v>20</v>
      </c>
      <c r="Z29" s="17" t="s">
        <v>121</v>
      </c>
      <c r="AA29" s="17"/>
      <c r="AB29" s="21"/>
      <c r="AC29" s="2">
        <v>0</v>
      </c>
      <c r="AD29" s="18"/>
    </row>
    <row r="30" spans="1:30" ht="30" x14ac:dyDescent="0.25">
      <c r="A30" s="17" t="s">
        <v>150</v>
      </c>
      <c r="B30" s="17" t="s">
        <v>71</v>
      </c>
      <c r="C30" s="17" t="s">
        <v>72</v>
      </c>
      <c r="D30" s="18" t="s">
        <v>156</v>
      </c>
      <c r="E30" s="19">
        <v>44454</v>
      </c>
      <c r="F30" s="19">
        <v>48106</v>
      </c>
      <c r="G30" s="17" t="s">
        <v>134</v>
      </c>
      <c r="H30" s="17"/>
      <c r="I30" s="17" t="s">
        <v>134</v>
      </c>
      <c r="J30" s="19" t="s">
        <v>100</v>
      </c>
      <c r="K30" s="17">
        <v>4</v>
      </c>
      <c r="L30" s="17">
        <v>500000</v>
      </c>
      <c r="M30" s="17" t="s">
        <v>35</v>
      </c>
      <c r="N30" s="21">
        <v>45550</v>
      </c>
      <c r="O30" s="17"/>
      <c r="P30" s="17"/>
      <c r="Q30" s="17"/>
      <c r="R30" s="8">
        <v>50000</v>
      </c>
      <c r="S30" s="17" t="s">
        <v>53</v>
      </c>
      <c r="T30" s="17" t="s">
        <v>54</v>
      </c>
      <c r="U30" s="19">
        <v>45915</v>
      </c>
      <c r="V30" s="19">
        <v>24624</v>
      </c>
      <c r="W30" s="17"/>
      <c r="X30" s="17" t="s">
        <v>157</v>
      </c>
      <c r="Y30" s="22">
        <f t="shared" si="6"/>
        <v>200000</v>
      </c>
      <c r="Z30" s="17" t="s">
        <v>121</v>
      </c>
      <c r="AA30" s="17" t="s">
        <v>64</v>
      </c>
      <c r="AB30" s="21" t="str">
        <f t="shared" ref="AB30:AB47" si="7">G30</f>
        <v>10 Years</v>
      </c>
      <c r="AC30" s="2">
        <v>325000</v>
      </c>
      <c r="AD30" s="18"/>
    </row>
    <row r="31" spans="1:30" ht="30" x14ac:dyDescent="0.25">
      <c r="A31" s="17" t="s">
        <v>150</v>
      </c>
      <c r="B31" s="17" t="s">
        <v>71</v>
      </c>
      <c r="C31" s="17" t="s">
        <v>72</v>
      </c>
      <c r="D31" s="18" t="s">
        <v>158</v>
      </c>
      <c r="E31" s="19">
        <v>44920</v>
      </c>
      <c r="F31" s="19">
        <v>48573</v>
      </c>
      <c r="G31" s="17" t="s">
        <v>134</v>
      </c>
      <c r="H31" s="17"/>
      <c r="I31" s="17" t="s">
        <v>134</v>
      </c>
      <c r="J31" s="19" t="s">
        <v>100</v>
      </c>
      <c r="K31" s="17">
        <v>3</v>
      </c>
      <c r="L31" s="17">
        <v>500000</v>
      </c>
      <c r="M31" s="17" t="s">
        <v>35</v>
      </c>
      <c r="N31" s="21">
        <v>45651</v>
      </c>
      <c r="O31" s="17"/>
      <c r="P31" s="17"/>
      <c r="Q31" s="17"/>
      <c r="R31" s="8">
        <v>50000</v>
      </c>
      <c r="S31" s="17" t="s">
        <v>53</v>
      </c>
      <c r="T31" s="17" t="s">
        <v>54</v>
      </c>
      <c r="U31" s="19">
        <v>46016</v>
      </c>
      <c r="V31" s="19">
        <v>24624</v>
      </c>
      <c r="W31" s="17"/>
      <c r="X31" s="17" t="s">
        <v>157</v>
      </c>
      <c r="Y31" s="22">
        <f t="shared" si="6"/>
        <v>150000</v>
      </c>
      <c r="Z31" s="17" t="s">
        <v>121</v>
      </c>
      <c r="AA31" s="17" t="s">
        <v>64</v>
      </c>
      <c r="AB31" s="21" t="str">
        <f t="shared" si="7"/>
        <v>10 Years</v>
      </c>
      <c r="AC31" s="2">
        <v>325000</v>
      </c>
      <c r="AD31" s="18"/>
    </row>
    <row r="32" spans="1:30" ht="90" x14ac:dyDescent="0.25">
      <c r="A32" s="17" t="s">
        <v>150</v>
      </c>
      <c r="B32" s="17" t="s">
        <v>57</v>
      </c>
      <c r="C32" s="17" t="s">
        <v>159</v>
      </c>
      <c r="D32" s="18" t="s">
        <v>278</v>
      </c>
      <c r="E32" s="19">
        <v>45560</v>
      </c>
      <c r="F32" s="19">
        <v>47751</v>
      </c>
      <c r="G32" s="19">
        <v>52865</v>
      </c>
      <c r="H32" s="17"/>
      <c r="I32" s="17" t="s">
        <v>59</v>
      </c>
      <c r="J32" s="17" t="s">
        <v>60</v>
      </c>
      <c r="K32" s="17">
        <v>1</v>
      </c>
      <c r="L32" s="17"/>
      <c r="M32" s="17" t="s">
        <v>35</v>
      </c>
      <c r="N32" s="19">
        <v>45925</v>
      </c>
      <c r="O32" s="17">
        <v>99998</v>
      </c>
      <c r="P32" s="17"/>
      <c r="Q32" s="17"/>
      <c r="R32" s="8">
        <v>99998</v>
      </c>
      <c r="S32" s="17" t="s">
        <v>35</v>
      </c>
      <c r="T32" s="17" t="s">
        <v>62</v>
      </c>
      <c r="U32" s="19">
        <v>45925</v>
      </c>
      <c r="V32" s="19"/>
      <c r="W32" s="17"/>
      <c r="X32" s="17" t="s">
        <v>63</v>
      </c>
      <c r="Y32" s="22">
        <f t="shared" si="6"/>
        <v>99998</v>
      </c>
      <c r="Z32" s="17" t="s">
        <v>121</v>
      </c>
      <c r="AA32" s="17" t="s">
        <v>64</v>
      </c>
      <c r="AB32" s="21">
        <f t="shared" si="7"/>
        <v>52865</v>
      </c>
      <c r="AC32" s="2">
        <v>750000</v>
      </c>
      <c r="AD32" s="18"/>
    </row>
    <row r="33" spans="1:30" ht="75" x14ac:dyDescent="0.25">
      <c r="A33" s="17" t="s">
        <v>150</v>
      </c>
      <c r="B33" s="17" t="s">
        <v>57</v>
      </c>
      <c r="C33" s="17" t="s">
        <v>160</v>
      </c>
      <c r="D33" s="18" t="s">
        <v>279</v>
      </c>
      <c r="E33" s="19">
        <v>45560</v>
      </c>
      <c r="F33" s="19">
        <v>47751</v>
      </c>
      <c r="G33" s="19">
        <v>52865</v>
      </c>
      <c r="H33" s="17"/>
      <c r="I33" s="17" t="s">
        <v>59</v>
      </c>
      <c r="J33" s="17" t="s">
        <v>60</v>
      </c>
      <c r="K33" s="17">
        <v>1</v>
      </c>
      <c r="L33" s="17"/>
      <c r="M33" s="17" t="s">
        <v>35</v>
      </c>
      <c r="N33" s="19">
        <v>45925</v>
      </c>
      <c r="O33" s="17">
        <v>100000</v>
      </c>
      <c r="P33" s="17"/>
      <c r="Q33" s="17"/>
      <c r="R33" s="8">
        <v>100000</v>
      </c>
      <c r="S33" s="17" t="s">
        <v>35</v>
      </c>
      <c r="T33" s="17" t="s">
        <v>62</v>
      </c>
      <c r="U33" s="19">
        <v>45925</v>
      </c>
      <c r="V33" s="19"/>
      <c r="W33" s="17"/>
      <c r="X33" s="17" t="s">
        <v>63</v>
      </c>
      <c r="Y33" s="22">
        <f t="shared" si="6"/>
        <v>100000</v>
      </c>
      <c r="Z33" s="17" t="s">
        <v>121</v>
      </c>
      <c r="AA33" s="17" t="s">
        <v>64</v>
      </c>
      <c r="AB33" s="21">
        <f t="shared" si="7"/>
        <v>52865</v>
      </c>
      <c r="AC33" s="2">
        <v>750000</v>
      </c>
      <c r="AD33" s="18"/>
    </row>
    <row r="34" spans="1:30" ht="90" x14ac:dyDescent="0.25">
      <c r="A34" s="17" t="s">
        <v>161</v>
      </c>
      <c r="B34" s="17" t="s">
        <v>57</v>
      </c>
      <c r="C34" s="17" t="s">
        <v>162</v>
      </c>
      <c r="D34" s="18" t="s">
        <v>280</v>
      </c>
      <c r="E34" s="19">
        <v>45633</v>
      </c>
      <c r="F34" s="19">
        <v>47824</v>
      </c>
      <c r="G34" s="19">
        <v>52938</v>
      </c>
      <c r="H34" s="17"/>
      <c r="I34" s="17" t="s">
        <v>59</v>
      </c>
      <c r="J34" s="17" t="s">
        <v>142</v>
      </c>
      <c r="K34" s="17">
        <v>3</v>
      </c>
      <c r="L34" s="17"/>
      <c r="M34" s="17" t="s">
        <v>34</v>
      </c>
      <c r="N34" s="21" t="s">
        <v>163</v>
      </c>
      <c r="O34" s="17">
        <v>2000</v>
      </c>
      <c r="P34" s="17"/>
      <c r="Q34" s="17"/>
      <c r="R34" s="8">
        <v>24000</v>
      </c>
      <c r="S34" s="17" t="s">
        <v>35</v>
      </c>
      <c r="T34" s="17" t="s">
        <v>62</v>
      </c>
      <c r="U34" s="19" t="s">
        <v>37</v>
      </c>
      <c r="V34" s="19">
        <v>44960</v>
      </c>
      <c r="W34" s="17"/>
      <c r="X34" s="17" t="s">
        <v>63</v>
      </c>
      <c r="Y34" s="22">
        <f t="shared" ref="Y34:Y39" si="8">K34*O34</f>
        <v>6000</v>
      </c>
      <c r="Z34" s="17"/>
      <c r="AA34" s="17" t="s">
        <v>64</v>
      </c>
      <c r="AB34" s="21">
        <f t="shared" si="7"/>
        <v>52938</v>
      </c>
      <c r="AC34" s="2">
        <v>0</v>
      </c>
      <c r="AD34" s="18"/>
    </row>
    <row r="35" spans="1:30" ht="75" x14ac:dyDescent="0.25">
      <c r="A35" s="17" t="s">
        <v>161</v>
      </c>
      <c r="B35" s="17" t="s">
        <v>57</v>
      </c>
      <c r="C35" s="17" t="s">
        <v>164</v>
      </c>
      <c r="D35" s="18" t="s">
        <v>281</v>
      </c>
      <c r="E35" s="19">
        <v>45633</v>
      </c>
      <c r="F35" s="19">
        <v>47824</v>
      </c>
      <c r="G35" s="19">
        <v>52938</v>
      </c>
      <c r="H35" s="17"/>
      <c r="I35" s="17" t="s">
        <v>59</v>
      </c>
      <c r="J35" s="17" t="s">
        <v>142</v>
      </c>
      <c r="K35" s="17">
        <v>3</v>
      </c>
      <c r="L35" s="17"/>
      <c r="M35" s="17" t="s">
        <v>34</v>
      </c>
      <c r="N35" s="21" t="s">
        <v>163</v>
      </c>
      <c r="O35" s="17">
        <v>2000</v>
      </c>
      <c r="P35" s="17"/>
      <c r="Q35" s="17"/>
      <c r="R35" s="8">
        <v>24000</v>
      </c>
      <c r="S35" s="17" t="s">
        <v>35</v>
      </c>
      <c r="T35" s="17" t="s">
        <v>62</v>
      </c>
      <c r="U35" s="19" t="s">
        <v>37</v>
      </c>
      <c r="V35" s="19">
        <v>44960</v>
      </c>
      <c r="W35" s="17"/>
      <c r="X35" s="17" t="s">
        <v>63</v>
      </c>
      <c r="Y35" s="22">
        <f t="shared" si="8"/>
        <v>6000</v>
      </c>
      <c r="Z35" s="17"/>
      <c r="AA35" s="17" t="s">
        <v>64</v>
      </c>
      <c r="AB35" s="21">
        <f t="shared" si="7"/>
        <v>52938</v>
      </c>
      <c r="AC35" s="2">
        <v>0</v>
      </c>
      <c r="AD35" s="18"/>
    </row>
    <row r="36" spans="1:30" ht="75" x14ac:dyDescent="0.25">
      <c r="A36" s="17" t="s">
        <v>161</v>
      </c>
      <c r="B36" s="17" t="s">
        <v>57</v>
      </c>
      <c r="C36" s="17" t="s">
        <v>165</v>
      </c>
      <c r="D36" s="18" t="s">
        <v>282</v>
      </c>
      <c r="E36" s="19">
        <v>45633</v>
      </c>
      <c r="F36" s="19">
        <v>47824</v>
      </c>
      <c r="G36" s="19">
        <v>52938</v>
      </c>
      <c r="H36" s="17"/>
      <c r="I36" s="17" t="s">
        <v>59</v>
      </c>
      <c r="J36" s="17" t="s">
        <v>142</v>
      </c>
      <c r="K36" s="17">
        <v>3</v>
      </c>
      <c r="L36" s="17"/>
      <c r="M36" s="17" t="s">
        <v>34</v>
      </c>
      <c r="N36" s="21" t="s">
        <v>163</v>
      </c>
      <c r="O36" s="17">
        <v>3000</v>
      </c>
      <c r="P36" s="17"/>
      <c r="Q36" s="17"/>
      <c r="R36" s="8">
        <v>36000</v>
      </c>
      <c r="S36" s="17" t="s">
        <v>35</v>
      </c>
      <c r="T36" s="17" t="s">
        <v>62</v>
      </c>
      <c r="U36" s="19" t="s">
        <v>37</v>
      </c>
      <c r="V36" s="19">
        <v>44960</v>
      </c>
      <c r="W36" s="17"/>
      <c r="X36" s="17" t="s">
        <v>63</v>
      </c>
      <c r="Y36" s="22">
        <f t="shared" si="8"/>
        <v>9000</v>
      </c>
      <c r="Z36" s="17"/>
      <c r="AA36" s="17" t="s">
        <v>64</v>
      </c>
      <c r="AB36" s="21">
        <f t="shared" si="7"/>
        <v>52938</v>
      </c>
      <c r="AC36" s="2">
        <v>300000</v>
      </c>
      <c r="AD36" s="18"/>
    </row>
    <row r="37" spans="1:30" ht="75" x14ac:dyDescent="0.25">
      <c r="A37" s="17" t="s">
        <v>161</v>
      </c>
      <c r="B37" s="17" t="s">
        <v>57</v>
      </c>
      <c r="C37" s="17" t="s">
        <v>166</v>
      </c>
      <c r="D37" s="18" t="s">
        <v>283</v>
      </c>
      <c r="E37" s="19">
        <v>45633</v>
      </c>
      <c r="F37" s="19">
        <v>47824</v>
      </c>
      <c r="G37" s="19">
        <v>52938</v>
      </c>
      <c r="H37" s="17"/>
      <c r="I37" s="17" t="s">
        <v>59</v>
      </c>
      <c r="J37" s="17" t="s">
        <v>142</v>
      </c>
      <c r="K37" s="17">
        <v>3</v>
      </c>
      <c r="L37" s="17"/>
      <c r="M37" s="17" t="s">
        <v>34</v>
      </c>
      <c r="N37" s="21" t="s">
        <v>163</v>
      </c>
      <c r="O37" s="17">
        <v>3000</v>
      </c>
      <c r="P37" s="17"/>
      <c r="Q37" s="17"/>
      <c r="R37" s="8">
        <v>36000</v>
      </c>
      <c r="S37" s="17" t="s">
        <v>35</v>
      </c>
      <c r="T37" s="17" t="s">
        <v>62</v>
      </c>
      <c r="U37" s="19" t="s">
        <v>37</v>
      </c>
      <c r="V37" s="19">
        <v>44960</v>
      </c>
      <c r="W37" s="18"/>
      <c r="X37" s="17" t="s">
        <v>63</v>
      </c>
      <c r="Y37" s="22">
        <f t="shared" si="8"/>
        <v>9000</v>
      </c>
      <c r="Z37" s="17"/>
      <c r="AA37" s="17" t="s">
        <v>64</v>
      </c>
      <c r="AB37" s="21">
        <f t="shared" si="7"/>
        <v>52938</v>
      </c>
      <c r="AC37" s="2">
        <v>300000</v>
      </c>
      <c r="AD37" s="18"/>
    </row>
    <row r="38" spans="1:30" ht="45" x14ac:dyDescent="0.25">
      <c r="A38" s="17" t="s">
        <v>161</v>
      </c>
      <c r="B38" s="17" t="s">
        <v>66</v>
      </c>
      <c r="C38" s="17" t="s">
        <v>167</v>
      </c>
      <c r="D38" s="18" t="s">
        <v>168</v>
      </c>
      <c r="E38" s="19">
        <v>45659</v>
      </c>
      <c r="F38" s="19"/>
      <c r="G38" s="19"/>
      <c r="H38" s="17"/>
      <c r="I38" s="17"/>
      <c r="J38" s="17"/>
      <c r="K38" s="17">
        <v>1</v>
      </c>
      <c r="L38" s="17"/>
      <c r="M38" s="17" t="s">
        <v>35</v>
      </c>
      <c r="N38" s="19">
        <v>46024</v>
      </c>
      <c r="O38" s="17">
        <v>25000</v>
      </c>
      <c r="P38" s="17"/>
      <c r="Q38" s="17"/>
      <c r="R38" s="8">
        <v>25000</v>
      </c>
      <c r="S38" s="17"/>
      <c r="T38" s="17"/>
      <c r="U38" s="19">
        <v>46024</v>
      </c>
      <c r="V38" s="19">
        <v>44960</v>
      </c>
      <c r="W38" s="18"/>
      <c r="X38" s="17" t="s">
        <v>63</v>
      </c>
      <c r="Y38" s="22">
        <f t="shared" si="8"/>
        <v>25000</v>
      </c>
      <c r="Z38" s="17"/>
      <c r="AA38" s="17" t="s">
        <v>70</v>
      </c>
      <c r="AB38" s="21">
        <f t="shared" si="7"/>
        <v>0</v>
      </c>
      <c r="AC38" s="2">
        <v>0</v>
      </c>
      <c r="AD38" s="18"/>
    </row>
    <row r="39" spans="1:30" ht="45" x14ac:dyDescent="0.25">
      <c r="A39" s="17" t="s">
        <v>161</v>
      </c>
      <c r="B39" s="17" t="s">
        <v>66</v>
      </c>
      <c r="C39" s="17" t="s">
        <v>167</v>
      </c>
      <c r="D39" s="18" t="s">
        <v>169</v>
      </c>
      <c r="E39" s="19">
        <v>45659</v>
      </c>
      <c r="F39" s="19"/>
      <c r="G39" s="19"/>
      <c r="H39" s="17"/>
      <c r="I39" s="17"/>
      <c r="J39" s="17"/>
      <c r="K39" s="17">
        <v>1</v>
      </c>
      <c r="L39" s="17"/>
      <c r="M39" s="17" t="s">
        <v>35</v>
      </c>
      <c r="N39" s="19">
        <v>46024</v>
      </c>
      <c r="O39" s="17">
        <v>25000</v>
      </c>
      <c r="P39" s="17"/>
      <c r="Q39" s="17"/>
      <c r="R39" s="8">
        <v>25000</v>
      </c>
      <c r="S39" s="17"/>
      <c r="T39" s="17"/>
      <c r="U39" s="19">
        <v>46024</v>
      </c>
      <c r="V39" s="19">
        <v>44960</v>
      </c>
      <c r="W39" s="18"/>
      <c r="X39" s="17" t="s">
        <v>63</v>
      </c>
      <c r="Y39" s="22">
        <f t="shared" si="8"/>
        <v>25000</v>
      </c>
      <c r="Z39" s="17"/>
      <c r="AA39" s="17" t="s">
        <v>70</v>
      </c>
      <c r="AB39" s="21">
        <f t="shared" si="7"/>
        <v>0</v>
      </c>
      <c r="AC39" s="2">
        <v>0</v>
      </c>
      <c r="AD39" s="18"/>
    </row>
    <row r="40" spans="1:30" ht="60" x14ac:dyDescent="0.25">
      <c r="A40" s="17" t="s">
        <v>170</v>
      </c>
      <c r="B40" s="17" t="s">
        <v>93</v>
      </c>
      <c r="C40" s="17" t="s">
        <v>171</v>
      </c>
      <c r="D40" s="18" t="s">
        <v>172</v>
      </c>
      <c r="E40" s="19">
        <v>44660</v>
      </c>
      <c r="F40" s="19">
        <v>52687</v>
      </c>
      <c r="G40" s="17" t="s">
        <v>173</v>
      </c>
      <c r="H40" s="17" t="s">
        <v>174</v>
      </c>
      <c r="I40" s="17" t="s">
        <v>175</v>
      </c>
      <c r="J40" s="17" t="s">
        <v>175</v>
      </c>
      <c r="K40" s="17">
        <v>3</v>
      </c>
      <c r="L40" s="17" t="s">
        <v>54</v>
      </c>
      <c r="M40" s="17" t="s">
        <v>35</v>
      </c>
      <c r="N40" s="21">
        <v>45748</v>
      </c>
      <c r="O40" s="17">
        <v>150000</v>
      </c>
      <c r="P40" s="17">
        <v>150000</v>
      </c>
      <c r="Q40" s="17">
        <v>0</v>
      </c>
      <c r="R40" s="8">
        <v>150000</v>
      </c>
      <c r="S40" s="17" t="s">
        <v>53</v>
      </c>
      <c r="T40" s="17" t="s">
        <v>54</v>
      </c>
      <c r="U40" s="19">
        <f ca="1">IF(TODAY() &lt; DATE(YEAR(TODAY()),MONTH(N40),DAY(N40)),DATE(YEAR(TODAY()),MONTH(N40),DAY(N40)),DATE(YEAR(TODAY())+1,MONTH(N40),DAY(N40)))</f>
        <v>46113</v>
      </c>
      <c r="V40" s="19">
        <v>42310</v>
      </c>
      <c r="W40" s="17">
        <v>419163212</v>
      </c>
      <c r="X40" s="17" t="s">
        <v>176</v>
      </c>
      <c r="Y40" s="22">
        <f>K40*R40</f>
        <v>450000</v>
      </c>
      <c r="Z40" s="17" t="s">
        <v>177</v>
      </c>
      <c r="AA40" s="17" t="s">
        <v>64</v>
      </c>
      <c r="AB40" s="21" t="str">
        <f t="shared" si="7"/>
        <v>21 years</v>
      </c>
      <c r="AC40" s="2">
        <v>5000000</v>
      </c>
      <c r="AD40" s="18"/>
    </row>
    <row r="41" spans="1:30" ht="75" x14ac:dyDescent="0.25">
      <c r="A41" s="17" t="s">
        <v>170</v>
      </c>
      <c r="B41" s="17" t="s">
        <v>57</v>
      </c>
      <c r="C41" s="17" t="s">
        <v>178</v>
      </c>
      <c r="D41" s="18" t="s">
        <v>284</v>
      </c>
      <c r="E41" s="19">
        <v>45635</v>
      </c>
      <c r="F41" s="19">
        <v>47826</v>
      </c>
      <c r="G41" s="19">
        <v>52940</v>
      </c>
      <c r="H41" s="17"/>
      <c r="I41" s="17" t="s">
        <v>59</v>
      </c>
      <c r="J41" s="17" t="s">
        <v>142</v>
      </c>
      <c r="K41" s="17">
        <v>3</v>
      </c>
      <c r="L41" s="17"/>
      <c r="M41" s="17" t="s">
        <v>34</v>
      </c>
      <c r="N41" s="21" t="s">
        <v>179</v>
      </c>
      <c r="O41" s="17">
        <v>4000</v>
      </c>
      <c r="P41" s="17"/>
      <c r="Q41" s="17"/>
      <c r="R41" s="8">
        <v>48000</v>
      </c>
      <c r="S41" s="17" t="s">
        <v>35</v>
      </c>
      <c r="T41" s="17" t="s">
        <v>62</v>
      </c>
      <c r="U41" s="19" t="s">
        <v>37</v>
      </c>
      <c r="V41" s="19">
        <v>44647</v>
      </c>
      <c r="W41" s="17"/>
      <c r="X41" s="17" t="s">
        <v>63</v>
      </c>
      <c r="Y41" s="22">
        <f>K41*O41</f>
        <v>12000</v>
      </c>
      <c r="Z41" s="17"/>
      <c r="AA41" s="17" t="s">
        <v>64</v>
      </c>
      <c r="AB41" s="21">
        <f t="shared" si="7"/>
        <v>52940</v>
      </c>
      <c r="AC41" s="2">
        <v>400000</v>
      </c>
      <c r="AD41" s="18"/>
    </row>
    <row r="42" spans="1:30" ht="90" x14ac:dyDescent="0.25">
      <c r="A42" s="17" t="s">
        <v>170</v>
      </c>
      <c r="B42" s="17" t="s">
        <v>57</v>
      </c>
      <c r="C42" s="17" t="s">
        <v>180</v>
      </c>
      <c r="D42" s="18" t="s">
        <v>285</v>
      </c>
      <c r="E42" s="19">
        <v>45635</v>
      </c>
      <c r="F42" s="19">
        <v>47826</v>
      </c>
      <c r="G42" s="19">
        <v>52940</v>
      </c>
      <c r="H42" s="17"/>
      <c r="I42" s="17" t="s">
        <v>59</v>
      </c>
      <c r="J42" s="17" t="s">
        <v>142</v>
      </c>
      <c r="K42" s="17">
        <v>3</v>
      </c>
      <c r="L42" s="17"/>
      <c r="M42" s="17" t="s">
        <v>34</v>
      </c>
      <c r="N42" s="21" t="s">
        <v>179</v>
      </c>
      <c r="O42" s="17">
        <v>4000</v>
      </c>
      <c r="P42" s="17"/>
      <c r="Q42" s="17"/>
      <c r="R42" s="8">
        <v>48000</v>
      </c>
      <c r="S42" s="17" t="s">
        <v>35</v>
      </c>
      <c r="T42" s="17" t="s">
        <v>62</v>
      </c>
      <c r="U42" s="19" t="s">
        <v>37</v>
      </c>
      <c r="V42" s="19">
        <v>44647</v>
      </c>
      <c r="W42" s="17"/>
      <c r="X42" s="17" t="s">
        <v>63</v>
      </c>
      <c r="Y42" s="22">
        <f>K42*O42</f>
        <v>12000</v>
      </c>
      <c r="Z42" s="17"/>
      <c r="AA42" s="17" t="s">
        <v>64</v>
      </c>
      <c r="AB42" s="21">
        <f t="shared" si="7"/>
        <v>52940</v>
      </c>
      <c r="AC42" s="2">
        <v>400000</v>
      </c>
      <c r="AD42" s="18"/>
    </row>
    <row r="43" spans="1:30" ht="75" x14ac:dyDescent="0.25">
      <c r="A43" s="17" t="s">
        <v>170</v>
      </c>
      <c r="B43" s="17" t="s">
        <v>57</v>
      </c>
      <c r="C43" s="17" t="s">
        <v>181</v>
      </c>
      <c r="D43" s="18" t="s">
        <v>286</v>
      </c>
      <c r="E43" s="19">
        <v>45635</v>
      </c>
      <c r="F43" s="19">
        <v>47826</v>
      </c>
      <c r="G43" s="19">
        <v>52940</v>
      </c>
      <c r="H43" s="17"/>
      <c r="I43" s="17" t="s">
        <v>59</v>
      </c>
      <c r="J43" s="17" t="s">
        <v>142</v>
      </c>
      <c r="K43" s="17">
        <v>3</v>
      </c>
      <c r="L43" s="17"/>
      <c r="M43" s="17" t="s">
        <v>34</v>
      </c>
      <c r="N43" s="21" t="s">
        <v>179</v>
      </c>
      <c r="O43" s="17">
        <v>2000</v>
      </c>
      <c r="P43" s="17"/>
      <c r="Q43" s="17"/>
      <c r="R43" s="8">
        <v>24000</v>
      </c>
      <c r="S43" s="17" t="s">
        <v>35</v>
      </c>
      <c r="T43" s="17" t="s">
        <v>62</v>
      </c>
      <c r="U43" s="19" t="s">
        <v>37</v>
      </c>
      <c r="V43" s="19">
        <v>44647</v>
      </c>
      <c r="W43" s="17"/>
      <c r="X43" s="17" t="s">
        <v>63</v>
      </c>
      <c r="Y43" s="22">
        <f>K43*O43</f>
        <v>6000</v>
      </c>
      <c r="Z43" s="17"/>
      <c r="AA43" s="17" t="s">
        <v>64</v>
      </c>
      <c r="AB43" s="21">
        <f t="shared" si="7"/>
        <v>52940</v>
      </c>
      <c r="AC43" s="2">
        <v>0</v>
      </c>
      <c r="AD43" s="18"/>
    </row>
    <row r="44" spans="1:30" ht="30" x14ac:dyDescent="0.25">
      <c r="A44" s="17" t="s">
        <v>182</v>
      </c>
      <c r="B44" s="17" t="s">
        <v>79</v>
      </c>
      <c r="C44" s="17" t="s">
        <v>183</v>
      </c>
      <c r="D44" s="18">
        <v>875937712</v>
      </c>
      <c r="E44" s="19">
        <v>42930</v>
      </c>
      <c r="F44" s="19">
        <v>48409</v>
      </c>
      <c r="G44" s="19">
        <v>48774</v>
      </c>
      <c r="H44" s="17" t="s">
        <v>184</v>
      </c>
      <c r="I44" s="17" t="s">
        <v>151</v>
      </c>
      <c r="J44" s="17" t="s">
        <v>151</v>
      </c>
      <c r="K44" s="17">
        <v>8</v>
      </c>
      <c r="L44" s="17" t="s">
        <v>185</v>
      </c>
      <c r="M44" s="17" t="s">
        <v>35</v>
      </c>
      <c r="N44" s="21">
        <v>45852</v>
      </c>
      <c r="O44" s="17" t="s">
        <v>186</v>
      </c>
      <c r="P44" s="17">
        <v>29925</v>
      </c>
      <c r="Q44" s="17">
        <v>673.32</v>
      </c>
      <c r="R44" s="8">
        <f>P44+Q44</f>
        <v>30598.32</v>
      </c>
      <c r="S44" s="17" t="s">
        <v>53</v>
      </c>
      <c r="T44" s="17" t="s">
        <v>54</v>
      </c>
      <c r="U44" s="19">
        <f ca="1">IF(TODAY() &lt; DATE(YEAR(TODAY()),MONTH(N44),DAY(N44)),DATE(YEAR(TODAY()),MONTH(N44),DAY(N44)),DATE(YEAR(TODAY())+1,MONTH(N44),DAY(N44)))</f>
        <v>46217</v>
      </c>
      <c r="V44" s="19">
        <v>31844</v>
      </c>
      <c r="W44" s="17"/>
      <c r="X44" s="26" t="s">
        <v>84</v>
      </c>
      <c r="Y44" s="27">
        <f>K44*R44</f>
        <v>244786.56</v>
      </c>
      <c r="Z44" s="26" t="s">
        <v>177</v>
      </c>
      <c r="AA44" s="26" t="s">
        <v>64</v>
      </c>
      <c r="AB44" s="28">
        <f t="shared" si="7"/>
        <v>48774</v>
      </c>
      <c r="AC44" s="7">
        <v>550000</v>
      </c>
      <c r="AD44" s="18"/>
    </row>
    <row r="45" spans="1:30" ht="30" x14ac:dyDescent="0.25">
      <c r="A45" s="17" t="s">
        <v>182</v>
      </c>
      <c r="B45" s="17" t="s">
        <v>79</v>
      </c>
      <c r="C45" s="17" t="s">
        <v>183</v>
      </c>
      <c r="D45" s="18">
        <v>875937714</v>
      </c>
      <c r="E45" s="19">
        <v>42930</v>
      </c>
      <c r="F45" s="19">
        <v>48774</v>
      </c>
      <c r="G45" s="19">
        <v>49139</v>
      </c>
      <c r="H45" s="17" t="s">
        <v>187</v>
      </c>
      <c r="I45" s="17" t="s">
        <v>188</v>
      </c>
      <c r="J45" s="17" t="s">
        <v>188</v>
      </c>
      <c r="K45" s="17">
        <v>8</v>
      </c>
      <c r="L45" s="17" t="s">
        <v>185</v>
      </c>
      <c r="M45" s="17" t="s">
        <v>35</v>
      </c>
      <c r="N45" s="21">
        <v>45852</v>
      </c>
      <c r="O45" s="17" t="s">
        <v>189</v>
      </c>
      <c r="P45" s="17">
        <v>27965</v>
      </c>
      <c r="Q45" s="17">
        <v>629.22</v>
      </c>
      <c r="R45" s="8">
        <f>P45+Q45</f>
        <v>28594.22</v>
      </c>
      <c r="S45" s="17" t="s">
        <v>53</v>
      </c>
      <c r="T45" s="17" t="s">
        <v>54</v>
      </c>
      <c r="U45" s="19">
        <f ca="1">IF(TODAY() &lt; DATE(YEAR(TODAY()),MONTH(N45),DAY(N45)),DATE(YEAR(TODAY()),MONTH(N45),DAY(N45)),DATE(YEAR(TODAY())+1,MONTH(N45),DAY(N45)))</f>
        <v>46217</v>
      </c>
      <c r="V45" s="19">
        <v>31844</v>
      </c>
      <c r="W45" s="17"/>
      <c r="X45" s="26" t="s">
        <v>84</v>
      </c>
      <c r="Y45" s="27">
        <f>K45*R45</f>
        <v>228753.76</v>
      </c>
      <c r="Z45" s="26" t="s">
        <v>177</v>
      </c>
      <c r="AA45" s="26" t="s">
        <v>64</v>
      </c>
      <c r="AB45" s="28">
        <f t="shared" si="7"/>
        <v>49139</v>
      </c>
      <c r="AC45" s="7">
        <v>525000</v>
      </c>
      <c r="AD45" s="18"/>
    </row>
    <row r="46" spans="1:30" ht="30" x14ac:dyDescent="0.25">
      <c r="A46" s="17" t="s">
        <v>182</v>
      </c>
      <c r="B46" s="17" t="s">
        <v>79</v>
      </c>
      <c r="C46" s="17" t="s">
        <v>183</v>
      </c>
      <c r="D46" s="18">
        <v>875937715</v>
      </c>
      <c r="E46" s="19">
        <v>42930</v>
      </c>
      <c r="F46" s="19">
        <v>49139</v>
      </c>
      <c r="G46" s="19">
        <v>49504</v>
      </c>
      <c r="H46" s="17" t="s">
        <v>190</v>
      </c>
      <c r="I46" s="17" t="s">
        <v>191</v>
      </c>
      <c r="J46" s="17" t="s">
        <v>191</v>
      </c>
      <c r="K46" s="17">
        <v>8</v>
      </c>
      <c r="L46" s="17" t="s">
        <v>185</v>
      </c>
      <c r="M46" s="17" t="s">
        <v>35</v>
      </c>
      <c r="N46" s="21">
        <v>45852</v>
      </c>
      <c r="O46" s="17" t="s">
        <v>192</v>
      </c>
      <c r="P46" s="17">
        <v>26260</v>
      </c>
      <c r="Q46" s="17">
        <v>590.86</v>
      </c>
      <c r="R46" s="8">
        <f>P46+Q46</f>
        <v>26850.86</v>
      </c>
      <c r="S46" s="17" t="s">
        <v>53</v>
      </c>
      <c r="T46" s="17" t="s">
        <v>54</v>
      </c>
      <c r="U46" s="19">
        <f ca="1">IF(TODAY() &lt; DATE(YEAR(TODAY()),MONTH(N46),DAY(N46)),DATE(YEAR(TODAY()),MONTH(N46),DAY(N46)),DATE(YEAR(TODAY())+1,MONTH(N46),DAY(N46)))</f>
        <v>46217</v>
      </c>
      <c r="V46" s="19">
        <v>31844</v>
      </c>
      <c r="W46" s="17"/>
      <c r="X46" s="26" t="s">
        <v>84</v>
      </c>
      <c r="Y46" s="27">
        <f>K46*R46</f>
        <v>214806.88</v>
      </c>
      <c r="Z46" s="26" t="s">
        <v>177</v>
      </c>
      <c r="AA46" s="26" t="s">
        <v>64</v>
      </c>
      <c r="AB46" s="28">
        <f t="shared" si="7"/>
        <v>49504</v>
      </c>
      <c r="AC46" s="7">
        <v>500000</v>
      </c>
      <c r="AD46" s="18"/>
    </row>
    <row r="47" spans="1:30" ht="60" x14ac:dyDescent="0.25">
      <c r="A47" s="17" t="s">
        <v>182</v>
      </c>
      <c r="B47" s="17" t="s">
        <v>71</v>
      </c>
      <c r="C47" s="17" t="s">
        <v>72</v>
      </c>
      <c r="D47" s="18" t="s">
        <v>193</v>
      </c>
      <c r="E47" s="19">
        <v>45427</v>
      </c>
      <c r="F47" s="19">
        <v>47618</v>
      </c>
      <c r="G47" s="19">
        <v>58351</v>
      </c>
      <c r="H47" s="17">
        <v>9108134</v>
      </c>
      <c r="I47" s="17" t="s">
        <v>74</v>
      </c>
      <c r="J47" s="17" t="s">
        <v>75</v>
      </c>
      <c r="K47" s="17">
        <v>1</v>
      </c>
      <c r="L47" s="17" t="s">
        <v>76</v>
      </c>
      <c r="M47" s="17" t="s">
        <v>35</v>
      </c>
      <c r="N47" s="21">
        <v>45792</v>
      </c>
      <c r="O47" s="17">
        <v>125000</v>
      </c>
      <c r="P47" s="17">
        <v>125000</v>
      </c>
      <c r="Q47" s="17">
        <v>0</v>
      </c>
      <c r="R47" s="8">
        <v>0</v>
      </c>
      <c r="S47" s="17" t="s">
        <v>53</v>
      </c>
      <c r="T47" s="17" t="s">
        <v>54</v>
      </c>
      <c r="U47" s="19">
        <v>45792</v>
      </c>
      <c r="V47" s="19">
        <v>31844</v>
      </c>
      <c r="W47" s="17"/>
      <c r="X47" s="17" t="s">
        <v>194</v>
      </c>
      <c r="Y47" s="22">
        <v>125000</v>
      </c>
      <c r="Z47" s="17" t="s">
        <v>78</v>
      </c>
      <c r="AA47" s="17" t="s">
        <v>64</v>
      </c>
      <c r="AB47" s="21">
        <f t="shared" si="7"/>
        <v>58351</v>
      </c>
      <c r="AC47" s="2">
        <v>950000</v>
      </c>
      <c r="AD47" s="18"/>
    </row>
    <row r="48" spans="1:30" ht="30" x14ac:dyDescent="0.25">
      <c r="A48" s="17" t="s">
        <v>182</v>
      </c>
      <c r="B48" s="17" t="s">
        <v>93</v>
      </c>
      <c r="C48" s="17" t="s">
        <v>94</v>
      </c>
      <c r="D48" s="18" t="s">
        <v>195</v>
      </c>
      <c r="E48" s="19">
        <v>45388</v>
      </c>
      <c r="F48" s="19">
        <v>14702</v>
      </c>
      <c r="G48" s="19">
        <v>14702</v>
      </c>
      <c r="H48" s="17"/>
      <c r="I48" s="17" t="s">
        <v>96</v>
      </c>
      <c r="J48" s="17" t="s">
        <v>96</v>
      </c>
      <c r="K48" s="17">
        <v>1</v>
      </c>
      <c r="L48" s="17" t="s">
        <v>54</v>
      </c>
      <c r="M48" s="17" t="s">
        <v>35</v>
      </c>
      <c r="N48" s="19">
        <v>45753</v>
      </c>
      <c r="O48" s="17">
        <v>150000</v>
      </c>
      <c r="P48" s="17">
        <v>150000</v>
      </c>
      <c r="Q48" s="17">
        <v>0</v>
      </c>
      <c r="R48" s="8">
        <v>150000</v>
      </c>
      <c r="S48" s="17" t="s">
        <v>53</v>
      </c>
      <c r="T48" s="17" t="s">
        <v>54</v>
      </c>
      <c r="U48" s="19">
        <f ca="1">IF(TODAY() &lt; DATE(YEAR(TODAY()),MONTH(N48),DAY(N48)),DATE(YEAR(TODAY()),MONTH(N48),DAY(N48)),DATE(YEAR(TODAY())+1,MONTH(N48),DAY(N48)))</f>
        <v>46118</v>
      </c>
      <c r="V48" s="19">
        <v>31844</v>
      </c>
      <c r="W48" s="17"/>
      <c r="X48" s="17" t="s">
        <v>97</v>
      </c>
      <c r="Y48" s="22">
        <f>K48*R48</f>
        <v>150000</v>
      </c>
      <c r="Z48" s="17" t="s">
        <v>196</v>
      </c>
      <c r="AA48" s="17" t="s">
        <v>64</v>
      </c>
      <c r="AB48" s="21">
        <v>51227</v>
      </c>
      <c r="AC48" s="2">
        <v>2000000</v>
      </c>
      <c r="AD48" s="18"/>
    </row>
    <row r="49" spans="1:30" ht="30" x14ac:dyDescent="0.25">
      <c r="A49" s="17" t="s">
        <v>182</v>
      </c>
      <c r="B49" s="17" t="s">
        <v>197</v>
      </c>
      <c r="C49" s="17" t="s">
        <v>198</v>
      </c>
      <c r="D49" s="18" t="s">
        <v>287</v>
      </c>
      <c r="E49" s="19">
        <v>45383</v>
      </c>
      <c r="F49" s="17" t="s">
        <v>199</v>
      </c>
      <c r="G49" s="19">
        <v>50861</v>
      </c>
      <c r="H49" s="17">
        <v>374742847</v>
      </c>
      <c r="I49" s="17" t="s">
        <v>96</v>
      </c>
      <c r="J49" s="17" t="s">
        <v>96</v>
      </c>
      <c r="K49" s="17">
        <v>1</v>
      </c>
      <c r="L49" s="17" t="s">
        <v>54</v>
      </c>
      <c r="M49" s="17" t="s">
        <v>35</v>
      </c>
      <c r="N49" s="19">
        <v>45747</v>
      </c>
      <c r="O49" s="17">
        <v>12830</v>
      </c>
      <c r="P49" s="17">
        <v>12830</v>
      </c>
      <c r="Q49" s="17">
        <v>0</v>
      </c>
      <c r="R49" s="8">
        <v>12830</v>
      </c>
      <c r="S49" s="17" t="s">
        <v>53</v>
      </c>
      <c r="T49" s="17" t="s">
        <v>54</v>
      </c>
      <c r="U49" s="19">
        <f ca="1">IF(TODAY() &lt; DATE(YEAR(TODAY()),MONTH(N49),DAY(N49)),DATE(YEAR(TODAY()),MONTH(N49),DAY(N49)),DATE(YEAR(TODAY())+1,MONTH(N49),DAY(N49)))</f>
        <v>46112</v>
      </c>
      <c r="V49" s="19">
        <v>32511</v>
      </c>
      <c r="W49" s="17"/>
      <c r="X49" s="17" t="s">
        <v>200</v>
      </c>
      <c r="Y49" s="22">
        <f>K49*R49</f>
        <v>12830</v>
      </c>
      <c r="Z49" s="17" t="s">
        <v>196</v>
      </c>
      <c r="AA49" s="17" t="s">
        <v>64</v>
      </c>
      <c r="AB49" s="21">
        <f t="shared" ref="AB49:AB57" si="9">G49</f>
        <v>50861</v>
      </c>
      <c r="AC49" s="2">
        <v>250000</v>
      </c>
      <c r="AD49" s="18"/>
    </row>
    <row r="50" spans="1:30" ht="30" x14ac:dyDescent="0.25">
      <c r="A50" s="17" t="s">
        <v>182</v>
      </c>
      <c r="B50" s="17" t="s">
        <v>201</v>
      </c>
      <c r="C50" s="17" t="s">
        <v>201</v>
      </c>
      <c r="D50" s="18" t="s">
        <v>202</v>
      </c>
      <c r="E50" s="19">
        <v>45382</v>
      </c>
      <c r="F50" s="19">
        <v>47573</v>
      </c>
      <c r="G50" s="19">
        <v>50860</v>
      </c>
      <c r="H50" s="17"/>
      <c r="I50" s="17" t="s">
        <v>96</v>
      </c>
      <c r="J50" s="17" t="s">
        <v>75</v>
      </c>
      <c r="K50" s="17">
        <v>1</v>
      </c>
      <c r="L50" s="17">
        <v>2000000</v>
      </c>
      <c r="M50" s="17" t="s">
        <v>35</v>
      </c>
      <c r="N50" s="19">
        <v>45746</v>
      </c>
      <c r="O50" s="17"/>
      <c r="P50" s="17"/>
      <c r="Q50" s="17"/>
      <c r="R50" s="8">
        <v>209000</v>
      </c>
      <c r="S50" s="17" t="s">
        <v>35</v>
      </c>
      <c r="T50" s="17" t="s">
        <v>203</v>
      </c>
      <c r="U50" s="19">
        <v>45747</v>
      </c>
      <c r="V50" s="19">
        <v>31844</v>
      </c>
      <c r="W50" s="17"/>
      <c r="X50" s="17"/>
      <c r="Y50" s="22">
        <f>K50*R50</f>
        <v>209000</v>
      </c>
      <c r="Z50" s="17" t="s">
        <v>196</v>
      </c>
      <c r="AA50" s="17" t="s">
        <v>64</v>
      </c>
      <c r="AB50" s="21">
        <f t="shared" si="9"/>
        <v>50860</v>
      </c>
      <c r="AC50" s="2">
        <v>1494830</v>
      </c>
      <c r="AD50" s="18" t="s">
        <v>289</v>
      </c>
    </row>
    <row r="51" spans="1:30" ht="45" x14ac:dyDescent="0.25">
      <c r="A51" s="17" t="s">
        <v>182</v>
      </c>
      <c r="B51" s="17" t="s">
        <v>288</v>
      </c>
      <c r="C51" s="17" t="s">
        <v>72</v>
      </c>
      <c r="D51" s="18">
        <v>27224069</v>
      </c>
      <c r="E51" s="19">
        <v>43376</v>
      </c>
      <c r="F51" s="19">
        <v>44837</v>
      </c>
      <c r="G51" s="19">
        <v>48855</v>
      </c>
      <c r="H51" s="17">
        <v>9107979</v>
      </c>
      <c r="I51" s="17" t="s">
        <v>96</v>
      </c>
      <c r="J51" s="17" t="s">
        <v>100</v>
      </c>
      <c r="K51" s="17">
        <v>5</v>
      </c>
      <c r="L51" s="17">
        <v>1000000</v>
      </c>
      <c r="M51" s="17" t="s">
        <v>35</v>
      </c>
      <c r="N51" s="21">
        <v>44837</v>
      </c>
      <c r="O51" s="17">
        <v>100000</v>
      </c>
      <c r="P51" s="17">
        <v>98886.56</v>
      </c>
      <c r="Q51" s="17">
        <v>1113.44</v>
      </c>
      <c r="R51" s="8">
        <v>0</v>
      </c>
      <c r="S51" s="17" t="s">
        <v>53</v>
      </c>
      <c r="T51" s="17" t="s">
        <v>54</v>
      </c>
      <c r="U51" s="19" t="s">
        <v>290</v>
      </c>
      <c r="V51" s="19">
        <v>31844</v>
      </c>
      <c r="W51" s="17"/>
      <c r="X51" s="17" t="s">
        <v>204</v>
      </c>
      <c r="Y51" s="22">
        <v>500000</v>
      </c>
      <c r="Z51" s="17" t="s">
        <v>177</v>
      </c>
      <c r="AA51" s="17" t="s">
        <v>64</v>
      </c>
      <c r="AB51" s="21">
        <f t="shared" si="9"/>
        <v>48855</v>
      </c>
      <c r="AC51" s="2">
        <v>600000</v>
      </c>
      <c r="AD51" s="18"/>
    </row>
    <row r="52" spans="1:30" ht="60" x14ac:dyDescent="0.25">
      <c r="A52" s="17" t="s">
        <v>182</v>
      </c>
      <c r="B52" s="17" t="s">
        <v>117</v>
      </c>
      <c r="C52" s="17" t="s">
        <v>118</v>
      </c>
      <c r="D52" s="18" t="s">
        <v>205</v>
      </c>
      <c r="E52" s="19">
        <v>45628</v>
      </c>
      <c r="F52" s="19">
        <v>45992</v>
      </c>
      <c r="G52" s="19">
        <v>45992</v>
      </c>
      <c r="H52" s="17">
        <v>101003763</v>
      </c>
      <c r="I52" s="17" t="s">
        <v>46</v>
      </c>
      <c r="J52" s="17" t="s">
        <v>46</v>
      </c>
      <c r="K52" s="17">
        <v>1</v>
      </c>
      <c r="L52" s="17">
        <v>500000</v>
      </c>
      <c r="M52" s="17" t="s">
        <v>35</v>
      </c>
      <c r="N52" s="21">
        <v>45992</v>
      </c>
      <c r="O52" s="17">
        <v>338</v>
      </c>
      <c r="P52" s="17">
        <v>338</v>
      </c>
      <c r="Q52" s="17">
        <v>60</v>
      </c>
      <c r="R52" s="8">
        <f>P52+Q52</f>
        <v>398</v>
      </c>
      <c r="S52" s="17" t="s">
        <v>53</v>
      </c>
      <c r="T52" s="17" t="s">
        <v>54</v>
      </c>
      <c r="U52" s="19">
        <f ca="1">IF(TODAY() &lt; DATE(YEAR(TODAY()),MONTH(N52),DAY(N52)),DATE(YEAR(TODAY()),MONTH(N52),DAY(N52)),DATE(YEAR(TODAY())+1,MONTH(N52),DAY(N52)))</f>
        <v>46357</v>
      </c>
      <c r="V52" s="19">
        <v>31844</v>
      </c>
      <c r="W52" s="17"/>
      <c r="X52" s="17" t="s">
        <v>206</v>
      </c>
      <c r="Y52" s="22">
        <f>K52*R52</f>
        <v>398</v>
      </c>
      <c r="Z52" s="17" t="s">
        <v>121</v>
      </c>
      <c r="AA52" s="17" t="s">
        <v>207</v>
      </c>
      <c r="AB52" s="21">
        <f t="shared" si="9"/>
        <v>45992</v>
      </c>
      <c r="AC52" s="2">
        <v>0</v>
      </c>
      <c r="AD52" s="18"/>
    </row>
    <row r="53" spans="1:30" ht="90" x14ac:dyDescent="0.25">
      <c r="A53" s="17" t="s">
        <v>182</v>
      </c>
      <c r="B53" s="17" t="s">
        <v>57</v>
      </c>
      <c r="C53" s="17" t="s">
        <v>208</v>
      </c>
      <c r="D53" s="18" t="s">
        <v>291</v>
      </c>
      <c r="E53" s="19">
        <v>45551</v>
      </c>
      <c r="F53" s="19">
        <v>47742</v>
      </c>
      <c r="G53" s="19"/>
      <c r="H53" s="17"/>
      <c r="I53" s="17" t="s">
        <v>59</v>
      </c>
      <c r="J53" s="17" t="s">
        <v>75</v>
      </c>
      <c r="K53" s="17">
        <v>1</v>
      </c>
      <c r="L53" s="17"/>
      <c r="M53" s="17" t="s">
        <v>35</v>
      </c>
      <c r="N53" s="19">
        <v>45916</v>
      </c>
      <c r="O53" s="17">
        <v>100000</v>
      </c>
      <c r="P53" s="17"/>
      <c r="Q53" s="17"/>
      <c r="R53" s="8">
        <v>100000</v>
      </c>
      <c r="S53" s="17" t="s">
        <v>35</v>
      </c>
      <c r="T53" s="17" t="s">
        <v>209</v>
      </c>
      <c r="U53" s="19">
        <v>45916</v>
      </c>
      <c r="V53" s="19">
        <v>31844</v>
      </c>
      <c r="W53" s="17"/>
      <c r="X53" s="17" t="s">
        <v>63</v>
      </c>
      <c r="Y53" s="22">
        <f>K53*O53</f>
        <v>100000</v>
      </c>
      <c r="Z53" s="17"/>
      <c r="AA53" s="17" t="s">
        <v>64</v>
      </c>
      <c r="AB53" s="21">
        <f t="shared" si="9"/>
        <v>0</v>
      </c>
      <c r="AC53" s="2">
        <v>750000</v>
      </c>
      <c r="AD53" s="18"/>
    </row>
    <row r="54" spans="1:30" ht="75" x14ac:dyDescent="0.25">
      <c r="A54" s="17" t="s">
        <v>182</v>
      </c>
      <c r="B54" s="17" t="s">
        <v>57</v>
      </c>
      <c r="C54" s="17" t="s">
        <v>210</v>
      </c>
      <c r="D54" s="18" t="s">
        <v>294</v>
      </c>
      <c r="E54" s="19">
        <v>45561</v>
      </c>
      <c r="F54" s="19">
        <v>47752</v>
      </c>
      <c r="G54" s="19"/>
      <c r="H54" s="17"/>
      <c r="I54" s="17" t="s">
        <v>59</v>
      </c>
      <c r="J54" s="17" t="s">
        <v>142</v>
      </c>
      <c r="K54" s="17">
        <v>6</v>
      </c>
      <c r="L54" s="17"/>
      <c r="M54" s="17" t="s">
        <v>34</v>
      </c>
      <c r="N54" s="21" t="s">
        <v>211</v>
      </c>
      <c r="O54" s="17">
        <v>8000</v>
      </c>
      <c r="P54" s="17"/>
      <c r="Q54" s="17"/>
      <c r="R54" s="8">
        <v>96000</v>
      </c>
      <c r="S54" s="17" t="s">
        <v>35</v>
      </c>
      <c r="T54" s="17" t="s">
        <v>209</v>
      </c>
      <c r="U54" s="19" t="s">
        <v>37</v>
      </c>
      <c r="V54" s="19">
        <v>31844</v>
      </c>
      <c r="W54" s="17"/>
      <c r="X54" s="17" t="s">
        <v>63</v>
      </c>
      <c r="Y54" s="22">
        <f>K54*O54</f>
        <v>48000</v>
      </c>
      <c r="Z54" s="17"/>
      <c r="AA54" s="17" t="s">
        <v>64</v>
      </c>
      <c r="AB54" s="21">
        <f t="shared" si="9"/>
        <v>0</v>
      </c>
      <c r="AC54" s="2">
        <v>750000</v>
      </c>
      <c r="AD54" s="18"/>
    </row>
    <row r="55" spans="1:30" ht="75" x14ac:dyDescent="0.25">
      <c r="A55" s="17" t="s">
        <v>182</v>
      </c>
      <c r="B55" s="17" t="s">
        <v>57</v>
      </c>
      <c r="C55" s="17" t="s">
        <v>212</v>
      </c>
      <c r="D55" s="18" t="s">
        <v>295</v>
      </c>
      <c r="E55" s="19">
        <v>45550</v>
      </c>
      <c r="F55" s="19">
        <v>47741</v>
      </c>
      <c r="G55" s="19"/>
      <c r="H55" s="17"/>
      <c r="I55" s="17" t="s">
        <v>59</v>
      </c>
      <c r="J55" s="17" t="s">
        <v>60</v>
      </c>
      <c r="K55" s="17">
        <v>1</v>
      </c>
      <c r="L55" s="17"/>
      <c r="M55" s="17" t="s">
        <v>35</v>
      </c>
      <c r="N55" s="19">
        <v>45915</v>
      </c>
      <c r="O55" s="17">
        <v>52772</v>
      </c>
      <c r="P55" s="17"/>
      <c r="Q55" s="17"/>
      <c r="R55" s="8">
        <v>52772</v>
      </c>
      <c r="S55" s="17" t="s">
        <v>35</v>
      </c>
      <c r="T55" s="17" t="s">
        <v>209</v>
      </c>
      <c r="U55" s="19">
        <v>45915</v>
      </c>
      <c r="V55" s="19">
        <v>31844</v>
      </c>
      <c r="W55" s="17"/>
      <c r="X55" s="17" t="s">
        <v>63</v>
      </c>
      <c r="Y55" s="22">
        <f>K55*O55</f>
        <v>52772</v>
      </c>
      <c r="Z55" s="17"/>
      <c r="AA55" s="17" t="s">
        <v>64</v>
      </c>
      <c r="AB55" s="21">
        <f t="shared" si="9"/>
        <v>0</v>
      </c>
      <c r="AC55" s="2">
        <v>400000</v>
      </c>
      <c r="AD55" s="18"/>
    </row>
    <row r="56" spans="1:30" ht="30" x14ac:dyDescent="0.25">
      <c r="A56" s="17" t="s">
        <v>213</v>
      </c>
      <c r="B56" s="17" t="s">
        <v>93</v>
      </c>
      <c r="C56" s="17" t="s">
        <v>94</v>
      </c>
      <c r="D56" s="18" t="s">
        <v>214</v>
      </c>
      <c r="E56" s="19">
        <v>44658</v>
      </c>
      <c r="F56" s="19">
        <v>50495</v>
      </c>
      <c r="G56" s="19">
        <v>50495</v>
      </c>
      <c r="H56" s="17"/>
      <c r="I56" s="17" t="s">
        <v>188</v>
      </c>
      <c r="J56" s="17" t="s">
        <v>188</v>
      </c>
      <c r="K56" s="17">
        <v>3</v>
      </c>
      <c r="L56" s="17" t="s">
        <v>54</v>
      </c>
      <c r="M56" s="17" t="s">
        <v>35</v>
      </c>
      <c r="N56" s="21">
        <v>45748</v>
      </c>
      <c r="O56" s="17">
        <v>150000</v>
      </c>
      <c r="P56" s="17">
        <v>150000</v>
      </c>
      <c r="Q56" s="17">
        <v>0</v>
      </c>
      <c r="R56" s="8">
        <v>150000</v>
      </c>
      <c r="S56" s="17" t="s">
        <v>53</v>
      </c>
      <c r="T56" s="17" t="s">
        <v>54</v>
      </c>
      <c r="U56" s="19">
        <f ca="1">IF(TODAY() &lt; DATE(YEAR(TODAY()),MONTH(N56),DAY(N56)),DATE(YEAR(TODAY()),MONTH(N56),DAY(N56)),DATE(YEAR(TODAY())+1,MONTH(N56),DAY(N56)))</f>
        <v>46113</v>
      </c>
      <c r="V56" s="19">
        <v>32735</v>
      </c>
      <c r="W56" s="17">
        <v>419083419</v>
      </c>
      <c r="X56" s="17" t="s">
        <v>97</v>
      </c>
      <c r="Y56" s="22">
        <f t="shared" ref="Y56:Y63" si="10">K56*R56</f>
        <v>450000</v>
      </c>
      <c r="Z56" s="17" t="s">
        <v>215</v>
      </c>
      <c r="AA56" s="17" t="s">
        <v>64</v>
      </c>
      <c r="AB56" s="21">
        <f t="shared" si="9"/>
        <v>50495</v>
      </c>
      <c r="AC56" s="2">
        <v>2000000</v>
      </c>
      <c r="AD56" s="18"/>
    </row>
    <row r="57" spans="1:30" x14ac:dyDescent="0.25">
      <c r="A57" s="17" t="s">
        <v>213</v>
      </c>
      <c r="B57" s="17" t="s">
        <v>71</v>
      </c>
      <c r="C57" s="17" t="s">
        <v>216</v>
      </c>
      <c r="D57" s="18" t="s">
        <v>217</v>
      </c>
      <c r="E57" s="19">
        <v>44451</v>
      </c>
      <c r="F57" s="19">
        <v>45918</v>
      </c>
      <c r="G57" s="19">
        <v>49936</v>
      </c>
      <c r="H57" s="17"/>
      <c r="I57" s="17" t="s">
        <v>96</v>
      </c>
      <c r="J57" s="17" t="s">
        <v>100</v>
      </c>
      <c r="K57" s="17">
        <v>4</v>
      </c>
      <c r="L57" s="17">
        <v>1250000</v>
      </c>
      <c r="M57" s="17" t="s">
        <v>35</v>
      </c>
      <c r="N57" s="21">
        <v>44451</v>
      </c>
      <c r="O57" s="17"/>
      <c r="P57" s="17"/>
      <c r="Q57" s="17"/>
      <c r="R57" s="8">
        <v>125000</v>
      </c>
      <c r="S57" s="17" t="s">
        <v>53</v>
      </c>
      <c r="T57" s="17" t="s">
        <v>54</v>
      </c>
      <c r="U57" s="19">
        <f ca="1">IF(TODAY() &lt; DATE(YEAR(TODAY()),MONTH(N57),DAY(N57)),DATE(YEAR(TODAY()),MONTH(N57),DAY(N57)),DATE(YEAR(TODAY())+1,MONTH(N57),DAY(N57)))</f>
        <v>46277</v>
      </c>
      <c r="V57" s="19">
        <v>32735</v>
      </c>
      <c r="W57" s="17"/>
      <c r="X57" s="17" t="s">
        <v>218</v>
      </c>
      <c r="Y57" s="22">
        <f t="shared" si="10"/>
        <v>500000</v>
      </c>
      <c r="Z57" s="17" t="s">
        <v>215</v>
      </c>
      <c r="AA57" s="17" t="s">
        <v>64</v>
      </c>
      <c r="AB57" s="21">
        <f t="shared" si="9"/>
        <v>49936</v>
      </c>
      <c r="AC57" s="2">
        <v>1200000</v>
      </c>
      <c r="AD57" s="18"/>
    </row>
    <row r="58" spans="1:30" ht="30" x14ac:dyDescent="0.25">
      <c r="A58" s="17" t="s">
        <v>213</v>
      </c>
      <c r="B58" s="17" t="s">
        <v>79</v>
      </c>
      <c r="C58" s="17" t="s">
        <v>219</v>
      </c>
      <c r="D58" s="18" t="s">
        <v>220</v>
      </c>
      <c r="E58" s="17" t="s">
        <v>221</v>
      </c>
      <c r="F58" s="17" t="s">
        <v>222</v>
      </c>
      <c r="G58" s="19">
        <v>14144</v>
      </c>
      <c r="H58" s="17" t="s">
        <v>223</v>
      </c>
      <c r="I58" s="17" t="s">
        <v>81</v>
      </c>
      <c r="J58" s="17" t="s">
        <v>151</v>
      </c>
      <c r="K58" s="17">
        <v>3</v>
      </c>
      <c r="L58" s="17">
        <v>500000</v>
      </c>
      <c r="M58" s="17" t="s">
        <v>35</v>
      </c>
      <c r="N58" s="21">
        <v>45921</v>
      </c>
      <c r="O58" s="17">
        <v>39259</v>
      </c>
      <c r="P58" s="17">
        <v>39259</v>
      </c>
      <c r="Q58" s="17">
        <v>0</v>
      </c>
      <c r="R58" s="8">
        <v>39259</v>
      </c>
      <c r="S58" s="17" t="s">
        <v>53</v>
      </c>
      <c r="T58" s="17" t="s">
        <v>54</v>
      </c>
      <c r="U58" s="19">
        <f ca="1">IF(TODAY() &lt; DATE(YEAR(TODAY()),MONTH(N58),DAY(N58)),DATE(YEAR(TODAY()),MONTH(N58),DAY(N58)),DATE(YEAR(TODAY())+1,MONTH(N58),DAY(N58)))</f>
        <v>46286</v>
      </c>
      <c r="V58" s="19">
        <v>32735</v>
      </c>
      <c r="W58" s="17"/>
      <c r="X58" s="26" t="s">
        <v>224</v>
      </c>
      <c r="Y58" s="27">
        <f t="shared" si="10"/>
        <v>117777</v>
      </c>
      <c r="Z58" s="26" t="s">
        <v>215</v>
      </c>
      <c r="AA58" s="26" t="s">
        <v>64</v>
      </c>
      <c r="AB58" s="28">
        <v>50669</v>
      </c>
      <c r="AC58" s="7">
        <v>950000</v>
      </c>
      <c r="AD58" s="18"/>
    </row>
    <row r="59" spans="1:30" ht="75" x14ac:dyDescent="0.25">
      <c r="A59" s="17" t="s">
        <v>213</v>
      </c>
      <c r="B59" s="17" t="s">
        <v>57</v>
      </c>
      <c r="C59" s="17" t="s">
        <v>225</v>
      </c>
      <c r="D59" s="18" t="s">
        <v>296</v>
      </c>
      <c r="E59" s="19">
        <v>45559</v>
      </c>
      <c r="F59" s="19">
        <v>47750</v>
      </c>
      <c r="G59" s="19">
        <v>47750</v>
      </c>
      <c r="H59" s="17"/>
      <c r="I59" s="17" t="s">
        <v>59</v>
      </c>
      <c r="J59" s="17" t="s">
        <v>60</v>
      </c>
      <c r="K59" s="17">
        <v>1</v>
      </c>
      <c r="L59" s="17"/>
      <c r="M59" s="17" t="s">
        <v>61</v>
      </c>
      <c r="N59" s="19">
        <v>45924</v>
      </c>
      <c r="O59" s="17">
        <v>100000</v>
      </c>
      <c r="P59" s="17"/>
      <c r="Q59" s="17"/>
      <c r="R59" s="8">
        <v>100000</v>
      </c>
      <c r="S59" s="17" t="s">
        <v>35</v>
      </c>
      <c r="T59" s="17" t="s">
        <v>62</v>
      </c>
      <c r="U59" s="19">
        <v>45924</v>
      </c>
      <c r="V59" s="19">
        <v>32735</v>
      </c>
      <c r="W59" s="17"/>
      <c r="X59" s="17" t="s">
        <v>63</v>
      </c>
      <c r="Y59" s="22">
        <f t="shared" si="10"/>
        <v>100000</v>
      </c>
      <c r="Z59" s="17"/>
      <c r="AA59" s="17" t="s">
        <v>64</v>
      </c>
      <c r="AB59" s="21">
        <f>G59</f>
        <v>47750</v>
      </c>
      <c r="AC59" s="2">
        <v>750000</v>
      </c>
      <c r="AD59" s="18"/>
    </row>
    <row r="60" spans="1:30" ht="75" x14ac:dyDescent="0.25">
      <c r="A60" s="17" t="s">
        <v>213</v>
      </c>
      <c r="B60" s="17" t="s">
        <v>57</v>
      </c>
      <c r="C60" s="17" t="s">
        <v>226</v>
      </c>
      <c r="D60" s="18" t="s">
        <v>297</v>
      </c>
      <c r="E60" s="19">
        <v>45559</v>
      </c>
      <c r="F60" s="19">
        <v>47750</v>
      </c>
      <c r="G60" s="19">
        <v>47750</v>
      </c>
      <c r="H60" s="17"/>
      <c r="I60" s="17" t="s">
        <v>59</v>
      </c>
      <c r="J60" s="17" t="s">
        <v>60</v>
      </c>
      <c r="K60" s="17">
        <v>1</v>
      </c>
      <c r="L60" s="17"/>
      <c r="M60" s="17" t="s">
        <v>35</v>
      </c>
      <c r="N60" s="19">
        <v>45924</v>
      </c>
      <c r="O60" s="17">
        <v>99997</v>
      </c>
      <c r="P60" s="17"/>
      <c r="Q60" s="17"/>
      <c r="R60" s="8">
        <v>99997</v>
      </c>
      <c r="S60" s="17" t="s">
        <v>35</v>
      </c>
      <c r="T60" s="17" t="s">
        <v>62</v>
      </c>
      <c r="U60" s="19">
        <v>45924</v>
      </c>
      <c r="V60" s="19">
        <v>32735</v>
      </c>
      <c r="W60" s="17"/>
      <c r="X60" s="17" t="s">
        <v>63</v>
      </c>
      <c r="Y60" s="22">
        <f t="shared" si="10"/>
        <v>99997</v>
      </c>
      <c r="Z60" s="17"/>
      <c r="AA60" s="17" t="s">
        <v>64</v>
      </c>
      <c r="AB60" s="21">
        <f>G60</f>
        <v>47750</v>
      </c>
      <c r="AC60" s="2">
        <v>750000</v>
      </c>
      <c r="AD60" s="18"/>
    </row>
    <row r="61" spans="1:30" ht="60" x14ac:dyDescent="0.25">
      <c r="A61" s="17" t="s">
        <v>213</v>
      </c>
      <c r="B61" s="17" t="s">
        <v>66</v>
      </c>
      <c r="C61" s="17" t="s">
        <v>227</v>
      </c>
      <c r="D61" s="18" t="s">
        <v>228</v>
      </c>
      <c r="E61" s="19">
        <v>45315</v>
      </c>
      <c r="F61" s="17"/>
      <c r="G61" s="19"/>
      <c r="H61" s="17"/>
      <c r="I61" s="17"/>
      <c r="J61" s="17"/>
      <c r="K61" s="17">
        <v>2</v>
      </c>
      <c r="L61" s="17"/>
      <c r="M61" s="17" t="s">
        <v>35</v>
      </c>
      <c r="N61" s="19">
        <v>46046</v>
      </c>
      <c r="O61" s="17">
        <v>50000</v>
      </c>
      <c r="P61" s="17"/>
      <c r="Q61" s="17"/>
      <c r="R61" s="8">
        <v>50000</v>
      </c>
      <c r="S61" s="17"/>
      <c r="T61" s="17"/>
      <c r="U61" s="19">
        <v>46046</v>
      </c>
      <c r="V61" s="19"/>
      <c r="W61" s="17"/>
      <c r="X61" s="17"/>
      <c r="Y61" s="22">
        <f t="shared" si="10"/>
        <v>100000</v>
      </c>
      <c r="Z61" s="17" t="s">
        <v>229</v>
      </c>
      <c r="AA61" s="17" t="s">
        <v>70</v>
      </c>
      <c r="AB61" s="21"/>
      <c r="AC61" s="2">
        <v>0</v>
      </c>
      <c r="AD61" s="18"/>
    </row>
    <row r="62" spans="1:30" ht="30" x14ac:dyDescent="0.25">
      <c r="A62" s="17" t="s">
        <v>230</v>
      </c>
      <c r="B62" s="17" t="s">
        <v>79</v>
      </c>
      <c r="C62" s="17" t="s">
        <v>231</v>
      </c>
      <c r="D62" s="18">
        <v>875912588</v>
      </c>
      <c r="E62" s="19">
        <v>42730</v>
      </c>
      <c r="F62" s="19">
        <v>49304</v>
      </c>
      <c r="G62" s="19">
        <v>51496</v>
      </c>
      <c r="H62" s="17" t="s">
        <v>232</v>
      </c>
      <c r="I62" s="17" t="s">
        <v>233</v>
      </c>
      <c r="J62" s="17" t="s">
        <v>234</v>
      </c>
      <c r="K62" s="17">
        <v>9</v>
      </c>
      <c r="L62" s="17">
        <v>500000</v>
      </c>
      <c r="M62" s="17" t="s">
        <v>35</v>
      </c>
      <c r="N62" s="21">
        <v>46017</v>
      </c>
      <c r="O62" s="17" t="s">
        <v>235</v>
      </c>
      <c r="P62" s="17">
        <v>22268</v>
      </c>
      <c r="Q62" s="17">
        <v>501.04</v>
      </c>
      <c r="R62" s="8">
        <f>P62+Q62</f>
        <v>22769.040000000001</v>
      </c>
      <c r="S62" s="17" t="s">
        <v>53</v>
      </c>
      <c r="T62" s="17" t="s">
        <v>54</v>
      </c>
      <c r="U62" s="19">
        <f ca="1">IF(TODAY() &lt; DATE(YEAR(TODAY()),MONTH(N62),DAY(N62)),DATE(YEAR(TODAY()),MONTH(N62),DAY(N62)),DATE(YEAR(TODAY())+1,MONTH(N62),DAY(N62)))</f>
        <v>46382</v>
      </c>
      <c r="V62" s="19">
        <v>42310</v>
      </c>
      <c r="W62" s="17"/>
      <c r="X62" s="26" t="s">
        <v>84</v>
      </c>
      <c r="Y62" s="27">
        <f t="shared" si="10"/>
        <v>204921.36000000002</v>
      </c>
      <c r="Z62" s="26" t="s">
        <v>177</v>
      </c>
      <c r="AA62" s="26"/>
      <c r="AB62" s="28">
        <f t="shared" ref="AB62:AB68" si="11">G62</f>
        <v>51496</v>
      </c>
      <c r="AC62" s="7">
        <v>0</v>
      </c>
      <c r="AD62" s="18"/>
    </row>
    <row r="63" spans="1:30" ht="60" x14ac:dyDescent="0.25">
      <c r="A63" s="17" t="s">
        <v>230</v>
      </c>
      <c r="B63" s="17" t="s">
        <v>93</v>
      </c>
      <c r="C63" s="17" t="s">
        <v>171</v>
      </c>
      <c r="D63" s="18">
        <v>9720788795</v>
      </c>
      <c r="E63" s="19">
        <v>42405</v>
      </c>
      <c r="F63" s="19">
        <v>48980</v>
      </c>
      <c r="G63" s="17" t="s">
        <v>173</v>
      </c>
      <c r="H63" s="17" t="s">
        <v>174</v>
      </c>
      <c r="I63" s="17" t="s">
        <v>175</v>
      </c>
      <c r="J63" s="17" t="s">
        <v>175</v>
      </c>
      <c r="K63" s="17">
        <v>9</v>
      </c>
      <c r="L63" s="17" t="s">
        <v>54</v>
      </c>
      <c r="M63" s="17" t="s">
        <v>35</v>
      </c>
      <c r="N63" s="21">
        <v>45748</v>
      </c>
      <c r="O63" s="17">
        <v>150000</v>
      </c>
      <c r="P63" s="17">
        <v>150000</v>
      </c>
      <c r="Q63" s="17">
        <v>0</v>
      </c>
      <c r="R63" s="8">
        <v>150000</v>
      </c>
      <c r="S63" s="17" t="s">
        <v>53</v>
      </c>
      <c r="T63" s="17" t="s">
        <v>54</v>
      </c>
      <c r="U63" s="19">
        <f ca="1">IF(TODAY() &lt; DATE(YEAR(TODAY()),MONTH(N63),DAY(N63)),DATE(YEAR(TODAY()),MONTH(N63),DAY(N63)),DATE(YEAR(TODAY())+1,MONTH(N63),DAY(N63)))</f>
        <v>46113</v>
      </c>
      <c r="V63" s="19">
        <v>42310</v>
      </c>
      <c r="W63" s="17">
        <v>8050266</v>
      </c>
      <c r="X63" s="17" t="s">
        <v>176</v>
      </c>
      <c r="Y63" s="22">
        <f t="shared" si="10"/>
        <v>1350000</v>
      </c>
      <c r="Z63" s="17" t="s">
        <v>177</v>
      </c>
      <c r="AA63" s="17" t="s">
        <v>64</v>
      </c>
      <c r="AB63" s="21" t="str">
        <f t="shared" si="11"/>
        <v>21 years</v>
      </c>
      <c r="AC63" s="2">
        <v>5000000</v>
      </c>
      <c r="AD63" s="18"/>
    </row>
    <row r="64" spans="1:30" ht="90" x14ac:dyDescent="0.25">
      <c r="A64" s="17" t="s">
        <v>230</v>
      </c>
      <c r="B64" s="17" t="s">
        <v>57</v>
      </c>
      <c r="C64" s="17" t="s">
        <v>236</v>
      </c>
      <c r="D64" s="18" t="s">
        <v>298</v>
      </c>
      <c r="E64" s="18" t="s">
        <v>237</v>
      </c>
      <c r="F64" s="18" t="s">
        <v>238</v>
      </c>
      <c r="G64" s="18" t="s">
        <v>239</v>
      </c>
      <c r="H64" s="17"/>
      <c r="I64" s="17" t="s">
        <v>75</v>
      </c>
      <c r="J64" s="17" t="s">
        <v>142</v>
      </c>
      <c r="K64" s="17">
        <v>3</v>
      </c>
      <c r="L64" s="17"/>
      <c r="M64" s="17" t="s">
        <v>34</v>
      </c>
      <c r="N64" s="21" t="s">
        <v>240</v>
      </c>
      <c r="O64" s="17">
        <v>4000</v>
      </c>
      <c r="P64" s="17"/>
      <c r="Q64" s="17"/>
      <c r="R64" s="8">
        <v>48000</v>
      </c>
      <c r="S64" s="17" t="s">
        <v>35</v>
      </c>
      <c r="T64" s="17" t="s">
        <v>62</v>
      </c>
      <c r="U64" s="19" t="s">
        <v>37</v>
      </c>
      <c r="V64" s="19">
        <v>42310</v>
      </c>
      <c r="W64" s="17"/>
      <c r="X64" s="17" t="s">
        <v>63</v>
      </c>
      <c r="Y64" s="22">
        <f>K64*O64</f>
        <v>12000</v>
      </c>
      <c r="Z64" s="17"/>
      <c r="AA64" s="17" t="s">
        <v>64</v>
      </c>
      <c r="AB64" s="21" t="str">
        <f t="shared" si="11"/>
        <v>09-12-2044</v>
      </c>
      <c r="AC64" s="2">
        <v>400000</v>
      </c>
      <c r="AD64" s="18"/>
    </row>
    <row r="65" spans="1:30" ht="75" x14ac:dyDescent="0.25">
      <c r="A65" s="17" t="s">
        <v>230</v>
      </c>
      <c r="B65" s="17" t="s">
        <v>57</v>
      </c>
      <c r="C65" s="17" t="s">
        <v>241</v>
      </c>
      <c r="D65" s="18" t="s">
        <v>299</v>
      </c>
      <c r="E65" s="18" t="s">
        <v>237</v>
      </c>
      <c r="F65" s="18" t="s">
        <v>238</v>
      </c>
      <c r="G65" s="18" t="s">
        <v>239</v>
      </c>
      <c r="H65" s="17"/>
      <c r="I65" s="17" t="s">
        <v>59</v>
      </c>
      <c r="J65" s="17" t="s">
        <v>142</v>
      </c>
      <c r="K65" s="17">
        <v>3</v>
      </c>
      <c r="L65" s="17"/>
      <c r="M65" s="17" t="s">
        <v>34</v>
      </c>
      <c r="N65" s="21" t="s">
        <v>240</v>
      </c>
      <c r="O65" s="17">
        <v>3000</v>
      </c>
      <c r="P65" s="17"/>
      <c r="Q65" s="17"/>
      <c r="R65" s="8">
        <v>36000</v>
      </c>
      <c r="S65" s="17" t="s">
        <v>35</v>
      </c>
      <c r="T65" s="17" t="s">
        <v>62</v>
      </c>
      <c r="U65" s="19" t="s">
        <v>37</v>
      </c>
      <c r="V65" s="19">
        <v>42310</v>
      </c>
      <c r="W65" s="17"/>
      <c r="X65" s="17" t="s">
        <v>63</v>
      </c>
      <c r="Y65" s="22">
        <f>K65*O65</f>
        <v>9000</v>
      </c>
      <c r="Z65" s="17"/>
      <c r="AA65" s="17" t="s">
        <v>64</v>
      </c>
      <c r="AB65" s="21" t="str">
        <f t="shared" si="11"/>
        <v>09-12-2044</v>
      </c>
      <c r="AC65" s="2">
        <v>300000</v>
      </c>
      <c r="AD65" s="18"/>
    </row>
    <row r="66" spans="1:30" ht="75" x14ac:dyDescent="0.25">
      <c r="A66" s="17" t="s">
        <v>230</v>
      </c>
      <c r="B66" s="17" t="s">
        <v>57</v>
      </c>
      <c r="C66" s="17" t="s">
        <v>242</v>
      </c>
      <c r="D66" s="18" t="s">
        <v>300</v>
      </c>
      <c r="E66" s="18" t="s">
        <v>237</v>
      </c>
      <c r="F66" s="18" t="s">
        <v>238</v>
      </c>
      <c r="G66" s="18" t="s">
        <v>239</v>
      </c>
      <c r="H66" s="17"/>
      <c r="I66" s="17" t="s">
        <v>59</v>
      </c>
      <c r="J66" s="17" t="s">
        <v>142</v>
      </c>
      <c r="K66" s="17">
        <v>3</v>
      </c>
      <c r="L66" s="17"/>
      <c r="M66" s="17" t="s">
        <v>34</v>
      </c>
      <c r="N66" s="21" t="s">
        <v>240</v>
      </c>
      <c r="O66" s="17">
        <v>3000</v>
      </c>
      <c r="P66" s="17"/>
      <c r="Q66" s="17"/>
      <c r="R66" s="8">
        <v>36000</v>
      </c>
      <c r="S66" s="17" t="s">
        <v>35</v>
      </c>
      <c r="T66" s="17" t="s">
        <v>62</v>
      </c>
      <c r="U66" s="19" t="s">
        <v>37</v>
      </c>
      <c r="V66" s="19">
        <v>42310</v>
      </c>
      <c r="W66" s="17"/>
      <c r="X66" s="17" t="s">
        <v>63</v>
      </c>
      <c r="Y66" s="22">
        <f>K66*O66</f>
        <v>9000</v>
      </c>
      <c r="Z66" s="17"/>
      <c r="AA66" s="17" t="s">
        <v>64</v>
      </c>
      <c r="AB66" s="21" t="str">
        <f t="shared" si="11"/>
        <v>09-12-2044</v>
      </c>
      <c r="AC66" s="2">
        <v>300000</v>
      </c>
      <c r="AD66" s="18"/>
    </row>
    <row r="67" spans="1:30" ht="30" x14ac:dyDescent="0.25">
      <c r="A67" s="17" t="s">
        <v>243</v>
      </c>
      <c r="B67" s="17" t="s">
        <v>79</v>
      </c>
      <c r="C67" s="17" t="s">
        <v>244</v>
      </c>
      <c r="D67" s="18">
        <v>875927422</v>
      </c>
      <c r="E67" s="19">
        <v>42818</v>
      </c>
      <c r="F67" s="19">
        <v>46105</v>
      </c>
      <c r="G67" s="19">
        <v>48662</v>
      </c>
      <c r="H67" s="17" t="s">
        <v>245</v>
      </c>
      <c r="I67" s="17" t="s">
        <v>151</v>
      </c>
      <c r="J67" s="17" t="s">
        <v>134</v>
      </c>
      <c r="K67" s="17">
        <v>8</v>
      </c>
      <c r="L67" s="17">
        <v>200000</v>
      </c>
      <c r="M67" s="17" t="s">
        <v>35</v>
      </c>
      <c r="N67" s="21">
        <v>45740</v>
      </c>
      <c r="O67" s="17" t="s">
        <v>246</v>
      </c>
      <c r="P67" s="17">
        <v>19468</v>
      </c>
      <c r="Q67" s="17">
        <v>438.04</v>
      </c>
      <c r="R67" s="8">
        <f>P67+Q67</f>
        <v>19906.04</v>
      </c>
      <c r="S67" s="17" t="s">
        <v>53</v>
      </c>
      <c r="T67" s="17" t="s">
        <v>54</v>
      </c>
      <c r="U67" s="19">
        <f ca="1">IF(TODAY() &lt; DATE(YEAR(TODAY()),MONTH(N67),DAY(N67)),DATE(YEAR(TODAY()),MONTH(N67),DAY(N67)),DATE(YEAR(TODAY())+1,MONTH(N67),DAY(N67)))</f>
        <v>46470</v>
      </c>
      <c r="V67" s="19">
        <v>21120</v>
      </c>
      <c r="W67" s="17"/>
      <c r="X67" s="26" t="s">
        <v>84</v>
      </c>
      <c r="Y67" s="27">
        <f t="shared" ref="Y67:Y76" si="12">K67*R67</f>
        <v>159248.32000000001</v>
      </c>
      <c r="Z67" s="26" t="s">
        <v>85</v>
      </c>
      <c r="AA67" s="26"/>
      <c r="AB67" s="28">
        <f t="shared" si="11"/>
        <v>48662</v>
      </c>
      <c r="AC67" s="7">
        <v>0</v>
      </c>
      <c r="AD67" s="18"/>
    </row>
    <row r="68" spans="1:30" ht="30" x14ac:dyDescent="0.25">
      <c r="A68" s="17" t="s">
        <v>243</v>
      </c>
      <c r="B68" s="17" t="s">
        <v>71</v>
      </c>
      <c r="C68" s="17" t="s">
        <v>247</v>
      </c>
      <c r="D68" s="18" t="s">
        <v>248</v>
      </c>
      <c r="E68" s="19">
        <v>44450</v>
      </c>
      <c r="F68" s="19">
        <v>46641</v>
      </c>
      <c r="G68" s="19">
        <v>48102</v>
      </c>
      <c r="H68" s="29">
        <v>5000035673730</v>
      </c>
      <c r="I68" s="17" t="s">
        <v>75</v>
      </c>
      <c r="J68" s="17" t="s">
        <v>75</v>
      </c>
      <c r="K68" s="17">
        <v>4</v>
      </c>
      <c r="L68" s="17">
        <v>350000</v>
      </c>
      <c r="M68" s="17" t="s">
        <v>35</v>
      </c>
      <c r="N68" s="19">
        <v>45911</v>
      </c>
      <c r="O68" s="17">
        <v>50000</v>
      </c>
      <c r="P68" s="17">
        <v>50000</v>
      </c>
      <c r="Q68" s="17"/>
      <c r="R68" s="8">
        <v>50000</v>
      </c>
      <c r="S68" s="17" t="s">
        <v>249</v>
      </c>
      <c r="T68" s="17" t="s">
        <v>250</v>
      </c>
      <c r="U68" s="19">
        <v>45911</v>
      </c>
      <c r="V68" s="19">
        <v>21120</v>
      </c>
      <c r="W68" s="17"/>
      <c r="X68" s="17"/>
      <c r="Y68" s="22">
        <f t="shared" si="12"/>
        <v>200000</v>
      </c>
      <c r="Z68" s="17" t="s">
        <v>85</v>
      </c>
      <c r="AA68" s="17"/>
      <c r="AB68" s="21">
        <f t="shared" si="11"/>
        <v>48102</v>
      </c>
      <c r="AC68" s="2">
        <v>0</v>
      </c>
      <c r="AD68" s="18"/>
    </row>
    <row r="69" spans="1:30" ht="60" x14ac:dyDescent="0.25">
      <c r="A69" s="17" t="s">
        <v>243</v>
      </c>
      <c r="B69" s="17" t="s">
        <v>251</v>
      </c>
      <c r="C69" s="17" t="s">
        <v>252</v>
      </c>
      <c r="D69" s="18" t="s">
        <v>253</v>
      </c>
      <c r="E69" s="19">
        <v>45072</v>
      </c>
      <c r="F69" s="19">
        <v>46533</v>
      </c>
      <c r="G69" s="19"/>
      <c r="H69" s="17" t="s">
        <v>254</v>
      </c>
      <c r="I69" s="17" t="s">
        <v>255</v>
      </c>
      <c r="J69" s="17" t="s">
        <v>100</v>
      </c>
      <c r="K69" s="17">
        <v>2</v>
      </c>
      <c r="L69" s="17" t="s">
        <v>256</v>
      </c>
      <c r="M69" s="17" t="s">
        <v>35</v>
      </c>
      <c r="N69" s="21">
        <v>45803</v>
      </c>
      <c r="O69" s="17"/>
      <c r="P69" s="2">
        <v>100000</v>
      </c>
      <c r="Q69" s="2">
        <v>2250</v>
      </c>
      <c r="R69" s="8">
        <f>P69+Q69</f>
        <v>102250</v>
      </c>
      <c r="S69" s="17" t="s">
        <v>35</v>
      </c>
      <c r="T69" s="17" t="s">
        <v>62</v>
      </c>
      <c r="U69" s="19">
        <v>45803</v>
      </c>
      <c r="V69" s="19">
        <v>21120</v>
      </c>
      <c r="W69" s="29">
        <v>458010100060455</v>
      </c>
      <c r="X69" s="30" t="s">
        <v>257</v>
      </c>
      <c r="Y69" s="31">
        <f t="shared" si="12"/>
        <v>204500</v>
      </c>
      <c r="Z69" s="30" t="s">
        <v>85</v>
      </c>
      <c r="AA69" s="30"/>
      <c r="AB69" s="32"/>
      <c r="AC69" s="5">
        <v>0</v>
      </c>
      <c r="AD69" s="18"/>
    </row>
    <row r="70" spans="1:30" ht="30" x14ac:dyDescent="0.25">
      <c r="A70" s="17" t="s">
        <v>243</v>
      </c>
      <c r="B70" s="17" t="s">
        <v>154</v>
      </c>
      <c r="C70" s="17" t="s">
        <v>155</v>
      </c>
      <c r="D70" s="18" t="s">
        <v>301</v>
      </c>
      <c r="E70" s="19"/>
      <c r="F70" s="19"/>
      <c r="G70" s="19"/>
      <c r="H70" s="17"/>
      <c r="I70" s="17"/>
      <c r="J70" s="17"/>
      <c r="K70" s="17"/>
      <c r="L70" s="17">
        <v>200000</v>
      </c>
      <c r="M70" s="17" t="s">
        <v>35</v>
      </c>
      <c r="N70" s="21"/>
      <c r="O70" s="33"/>
      <c r="P70" s="17"/>
      <c r="Q70" s="17"/>
      <c r="R70" s="8">
        <v>20</v>
      </c>
      <c r="S70" s="17"/>
      <c r="T70" s="17" t="s">
        <v>154</v>
      </c>
      <c r="U70" s="19">
        <v>45069</v>
      </c>
      <c r="V70" s="19">
        <v>21120</v>
      </c>
      <c r="W70" s="17"/>
      <c r="X70" s="17"/>
      <c r="Y70" s="22">
        <f t="shared" si="12"/>
        <v>0</v>
      </c>
      <c r="Z70" s="17"/>
      <c r="AA70" s="17"/>
      <c r="AB70" s="21"/>
      <c r="AC70" s="2">
        <v>0</v>
      </c>
      <c r="AD70" s="18"/>
    </row>
    <row r="71" spans="1:30" ht="30" x14ac:dyDescent="0.25">
      <c r="A71" s="17" t="s">
        <v>243</v>
      </c>
      <c r="B71" s="17" t="s">
        <v>258</v>
      </c>
      <c r="C71" s="17" t="s">
        <v>155</v>
      </c>
      <c r="D71" s="18" t="s">
        <v>302</v>
      </c>
      <c r="E71" s="19"/>
      <c r="F71" s="19"/>
      <c r="G71" s="19"/>
      <c r="H71" s="17"/>
      <c r="I71" s="17"/>
      <c r="J71" s="17"/>
      <c r="K71" s="17"/>
      <c r="L71" s="17">
        <v>200000</v>
      </c>
      <c r="M71" s="17" t="s">
        <v>35</v>
      </c>
      <c r="N71" s="21"/>
      <c r="O71" s="33"/>
      <c r="P71" s="17"/>
      <c r="Q71" s="17"/>
      <c r="R71" s="8">
        <v>20</v>
      </c>
      <c r="S71" s="17"/>
      <c r="T71" s="17" t="s">
        <v>258</v>
      </c>
      <c r="U71" s="19">
        <v>45076</v>
      </c>
      <c r="V71" s="19">
        <v>21120</v>
      </c>
      <c r="W71" s="17"/>
      <c r="X71" s="17"/>
      <c r="Y71" s="22">
        <f t="shared" si="12"/>
        <v>0</v>
      </c>
      <c r="Z71" s="17"/>
      <c r="AA71" s="17"/>
      <c r="AB71" s="21">
        <f t="shared" ref="AB71:AB76" si="13">G71</f>
        <v>0</v>
      </c>
      <c r="AC71" s="2">
        <v>0</v>
      </c>
      <c r="AD71" s="18"/>
    </row>
    <row r="72" spans="1:30" ht="30" x14ac:dyDescent="0.25">
      <c r="A72" s="17" t="s">
        <v>243</v>
      </c>
      <c r="B72" s="17" t="s">
        <v>117</v>
      </c>
      <c r="C72" s="17" t="s">
        <v>259</v>
      </c>
      <c r="D72" s="18" t="s">
        <v>260</v>
      </c>
      <c r="E72" s="19">
        <v>45619</v>
      </c>
      <c r="F72" s="19">
        <v>45983</v>
      </c>
      <c r="G72" s="19">
        <v>45983</v>
      </c>
      <c r="H72" s="17" t="s">
        <v>261</v>
      </c>
      <c r="I72" s="17" t="s">
        <v>46</v>
      </c>
      <c r="J72" s="17" t="s">
        <v>46</v>
      </c>
      <c r="K72" s="17">
        <v>1</v>
      </c>
      <c r="L72" s="17">
        <v>300000</v>
      </c>
      <c r="M72" s="17" t="s">
        <v>35</v>
      </c>
      <c r="N72" s="21">
        <v>45983</v>
      </c>
      <c r="O72" s="17">
        <v>665</v>
      </c>
      <c r="P72" s="17">
        <v>0</v>
      </c>
      <c r="Q72" s="17">
        <v>0</v>
      </c>
      <c r="R72" s="8">
        <f>O72+P72+Q72</f>
        <v>665</v>
      </c>
      <c r="S72" s="17" t="s">
        <v>250</v>
      </c>
      <c r="T72" s="17" t="s">
        <v>250</v>
      </c>
      <c r="U72" s="19">
        <f ca="1">IF(TODAY() &lt; DATE(YEAR(TODAY()),MONTH(N72),DAY(N72)),DATE(YEAR(TODAY()),MONTH(N72),DAY(N72)),DATE(YEAR(TODAY())+1,MONTH(N72),DAY(N72)))</f>
        <v>46348</v>
      </c>
      <c r="V72" s="19">
        <v>21120</v>
      </c>
      <c r="W72" s="17"/>
      <c r="X72" s="17" t="s">
        <v>262</v>
      </c>
      <c r="Y72" s="22">
        <f t="shared" si="12"/>
        <v>665</v>
      </c>
      <c r="Z72" s="17" t="s">
        <v>43</v>
      </c>
      <c r="AA72" s="17"/>
      <c r="AB72" s="21">
        <f t="shared" si="13"/>
        <v>45983</v>
      </c>
      <c r="AC72" s="2">
        <v>0</v>
      </c>
      <c r="AD72" s="18"/>
    </row>
    <row r="73" spans="1:30" ht="30" x14ac:dyDescent="0.25">
      <c r="A73" s="17" t="s">
        <v>243</v>
      </c>
      <c r="B73" s="17" t="s">
        <v>117</v>
      </c>
      <c r="C73" s="17" t="s">
        <v>263</v>
      </c>
      <c r="D73" s="18" t="s">
        <v>264</v>
      </c>
      <c r="E73" s="19">
        <v>45619</v>
      </c>
      <c r="F73" s="19">
        <v>45983</v>
      </c>
      <c r="G73" s="19">
        <v>45983</v>
      </c>
      <c r="H73" s="17" t="s">
        <v>261</v>
      </c>
      <c r="I73" s="17" t="s">
        <v>46</v>
      </c>
      <c r="J73" s="17" t="s">
        <v>46</v>
      </c>
      <c r="K73" s="17">
        <v>1</v>
      </c>
      <c r="L73" s="17">
        <v>400000</v>
      </c>
      <c r="M73" s="17" t="s">
        <v>35</v>
      </c>
      <c r="N73" s="21">
        <v>45983</v>
      </c>
      <c r="O73" s="17">
        <v>259</v>
      </c>
      <c r="P73" s="17">
        <v>0</v>
      </c>
      <c r="Q73" s="17">
        <v>0</v>
      </c>
      <c r="R73" s="8">
        <f>O73+P73+Q73</f>
        <v>259</v>
      </c>
      <c r="S73" s="17" t="s">
        <v>250</v>
      </c>
      <c r="T73" s="17" t="s">
        <v>250</v>
      </c>
      <c r="U73" s="19">
        <f ca="1">IF(TODAY() &lt; DATE(YEAR(TODAY()),MONTH(N73),DAY(N73)),DATE(YEAR(TODAY()),MONTH(N73),DAY(N73)),DATE(YEAR(TODAY())+1,MONTH(N73),DAY(N73)))</f>
        <v>46348</v>
      </c>
      <c r="V73" s="19">
        <v>21120</v>
      </c>
      <c r="W73" s="17"/>
      <c r="X73" s="17" t="s">
        <v>262</v>
      </c>
      <c r="Y73" s="22">
        <f t="shared" si="12"/>
        <v>259</v>
      </c>
      <c r="Z73" s="17" t="s">
        <v>43</v>
      </c>
      <c r="AA73" s="17"/>
      <c r="AB73" s="21">
        <f t="shared" si="13"/>
        <v>45983</v>
      </c>
      <c r="AC73" s="2">
        <v>0</v>
      </c>
      <c r="AD73" s="18"/>
    </row>
    <row r="74" spans="1:30" ht="45" x14ac:dyDescent="0.25">
      <c r="A74" s="17" t="s">
        <v>243</v>
      </c>
      <c r="B74" s="17" t="s">
        <v>265</v>
      </c>
      <c r="C74" s="17" t="s">
        <v>266</v>
      </c>
      <c r="D74" s="18" t="s">
        <v>267</v>
      </c>
      <c r="E74" s="19">
        <v>45622</v>
      </c>
      <c r="F74" s="19">
        <v>45985</v>
      </c>
      <c r="G74" s="19">
        <v>45985</v>
      </c>
      <c r="H74" s="17" t="s">
        <v>268</v>
      </c>
      <c r="I74" s="17" t="s">
        <v>46</v>
      </c>
      <c r="J74" s="17" t="s">
        <v>46</v>
      </c>
      <c r="K74" s="17">
        <v>1</v>
      </c>
      <c r="L74" s="17">
        <v>150000</v>
      </c>
      <c r="M74" s="17" t="s">
        <v>35</v>
      </c>
      <c r="N74" s="21">
        <v>45985</v>
      </c>
      <c r="O74" s="17">
        <v>1268</v>
      </c>
      <c r="P74" s="17">
        <v>0</v>
      </c>
      <c r="Q74" s="17">
        <v>0</v>
      </c>
      <c r="R74" s="8">
        <v>1268</v>
      </c>
      <c r="S74" s="17" t="s">
        <v>250</v>
      </c>
      <c r="T74" s="17" t="s">
        <v>250</v>
      </c>
      <c r="U74" s="19">
        <f ca="1">IF(TODAY() &lt; DATE(YEAR(TODAY()),MONTH(N74),DAY(N74)),DATE(YEAR(TODAY()),MONTH(N74),DAY(N74)),DATE(YEAR(TODAY())+1,MONTH(N74),DAY(N74)))</f>
        <v>46350</v>
      </c>
      <c r="V74" s="19">
        <v>21120</v>
      </c>
      <c r="W74" s="17"/>
      <c r="X74" s="17" t="s">
        <v>269</v>
      </c>
      <c r="Y74" s="22">
        <f t="shared" si="12"/>
        <v>1268</v>
      </c>
      <c r="Z74" s="17" t="s">
        <v>43</v>
      </c>
      <c r="AA74" s="17"/>
      <c r="AB74" s="21">
        <f t="shared" si="13"/>
        <v>45985</v>
      </c>
      <c r="AC74" s="2">
        <v>0</v>
      </c>
      <c r="AD74" s="18"/>
    </row>
    <row r="75" spans="1:30" ht="75" x14ac:dyDescent="0.25">
      <c r="A75" s="17" t="s">
        <v>243</v>
      </c>
      <c r="B75" s="17" t="s">
        <v>57</v>
      </c>
      <c r="C75" s="17" t="s">
        <v>270</v>
      </c>
      <c r="D75" s="18" t="s">
        <v>303</v>
      </c>
      <c r="E75" s="19">
        <v>45560</v>
      </c>
      <c r="F75" s="19">
        <v>47751</v>
      </c>
      <c r="G75" s="19">
        <v>47751</v>
      </c>
      <c r="H75" s="17"/>
      <c r="I75" s="17" t="s">
        <v>75</v>
      </c>
      <c r="J75" s="17" t="s">
        <v>60</v>
      </c>
      <c r="K75" s="17">
        <v>1</v>
      </c>
      <c r="L75" s="17"/>
      <c r="M75" s="17" t="s">
        <v>35</v>
      </c>
      <c r="N75" s="21"/>
      <c r="O75" s="17">
        <v>100000</v>
      </c>
      <c r="P75" s="17"/>
      <c r="Q75" s="17"/>
      <c r="R75" s="8">
        <v>100000</v>
      </c>
      <c r="S75" s="17" t="s">
        <v>35</v>
      </c>
      <c r="T75" s="17" t="s">
        <v>62</v>
      </c>
      <c r="U75" s="19">
        <v>45925</v>
      </c>
      <c r="V75" s="19">
        <v>21120</v>
      </c>
      <c r="W75" s="29">
        <v>458010100060455</v>
      </c>
      <c r="X75" s="17" t="s">
        <v>63</v>
      </c>
      <c r="Y75" s="22">
        <f t="shared" si="12"/>
        <v>100000</v>
      </c>
      <c r="Z75" s="17" t="s">
        <v>85</v>
      </c>
      <c r="AA75" s="17" t="s">
        <v>64</v>
      </c>
      <c r="AB75" s="21">
        <f t="shared" si="13"/>
        <v>47751</v>
      </c>
      <c r="AC75" s="2">
        <v>750000</v>
      </c>
      <c r="AD75" s="18"/>
    </row>
    <row r="76" spans="1:30" ht="75" x14ac:dyDescent="0.25">
      <c r="A76" s="17" t="s">
        <v>243</v>
      </c>
      <c r="B76" s="17" t="s">
        <v>57</v>
      </c>
      <c r="C76" s="17" t="s">
        <v>271</v>
      </c>
      <c r="D76" s="18" t="s">
        <v>304</v>
      </c>
      <c r="E76" s="19">
        <v>45560</v>
      </c>
      <c r="F76" s="19">
        <v>47751</v>
      </c>
      <c r="G76" s="19">
        <v>47751</v>
      </c>
      <c r="H76" s="17"/>
      <c r="I76" s="17" t="s">
        <v>75</v>
      </c>
      <c r="J76" s="17" t="s">
        <v>60</v>
      </c>
      <c r="K76" s="17">
        <v>1</v>
      </c>
      <c r="L76" s="17"/>
      <c r="M76" s="17" t="s">
        <v>35</v>
      </c>
      <c r="N76" s="21"/>
      <c r="O76" s="17">
        <v>100000</v>
      </c>
      <c r="P76" s="17"/>
      <c r="Q76" s="17"/>
      <c r="R76" s="8">
        <v>100000</v>
      </c>
      <c r="S76" s="17" t="s">
        <v>35</v>
      </c>
      <c r="T76" s="17" t="s">
        <v>62</v>
      </c>
      <c r="U76" s="19">
        <v>45925</v>
      </c>
      <c r="V76" s="19">
        <v>21120</v>
      </c>
      <c r="W76" s="29">
        <v>458010100060455</v>
      </c>
      <c r="X76" s="17" t="s">
        <v>63</v>
      </c>
      <c r="Y76" s="22">
        <f t="shared" si="12"/>
        <v>100000</v>
      </c>
      <c r="Z76" s="17" t="s">
        <v>85</v>
      </c>
      <c r="AA76" s="17" t="s">
        <v>64</v>
      </c>
      <c r="AB76" s="21">
        <f t="shared" si="13"/>
        <v>47751</v>
      </c>
      <c r="AC76" s="2">
        <v>750000</v>
      </c>
      <c r="AD76" s="18"/>
    </row>
    <row r="77" spans="1:30" x14ac:dyDescent="0.25">
      <c r="A77" s="17"/>
      <c r="B77" s="17"/>
      <c r="C77" s="17"/>
      <c r="D77" s="18"/>
      <c r="E77" s="19"/>
      <c r="F77" s="19"/>
      <c r="G77" s="19"/>
      <c r="H77" s="17"/>
      <c r="I77" s="17"/>
      <c r="J77" s="17"/>
      <c r="K77" s="17"/>
      <c r="L77" s="17"/>
      <c r="M77" s="17"/>
      <c r="N77" s="21"/>
      <c r="O77" s="17"/>
      <c r="P77" s="17"/>
      <c r="Q77" s="17"/>
      <c r="R77" s="8"/>
      <c r="S77" s="17"/>
      <c r="T77" s="17"/>
      <c r="U77" s="19"/>
      <c r="V77" s="19"/>
      <c r="W77" s="18"/>
      <c r="X77" s="34"/>
      <c r="Y77" s="35"/>
      <c r="Z77" s="34"/>
      <c r="AA77" s="34"/>
      <c r="AB77" s="36"/>
      <c r="AC77" s="3"/>
      <c r="AD77" s="37"/>
    </row>
    <row r="78" spans="1:30" x14ac:dyDescent="0.25">
      <c r="A78" s="17"/>
      <c r="B78" s="17"/>
      <c r="C78" s="17"/>
      <c r="D78" s="18"/>
      <c r="E78" s="19"/>
      <c r="F78" s="19"/>
      <c r="G78" s="19"/>
      <c r="H78" s="17"/>
      <c r="I78" s="17"/>
      <c r="J78" s="17"/>
      <c r="K78" s="17"/>
      <c r="L78" s="17"/>
      <c r="M78" s="17"/>
      <c r="N78" s="21"/>
      <c r="O78" s="17"/>
      <c r="P78" s="17"/>
      <c r="Q78" s="17"/>
      <c r="R78" s="8"/>
      <c r="S78" s="17"/>
      <c r="T78" s="17"/>
      <c r="U78" s="19"/>
      <c r="V78" s="19"/>
      <c r="W78" s="18"/>
      <c r="X78" s="34"/>
      <c r="Y78" s="35"/>
      <c r="Z78" s="34"/>
      <c r="AA78" s="34"/>
      <c r="AB78" s="36"/>
      <c r="AC78" s="3"/>
      <c r="AD78" s="37"/>
    </row>
    <row r="79" spans="1:30" x14ac:dyDescent="0.25">
      <c r="A79" s="17"/>
      <c r="B79" s="17"/>
      <c r="C79" s="17"/>
      <c r="D79" s="18"/>
      <c r="E79" s="19"/>
      <c r="F79" s="19"/>
      <c r="G79" s="19"/>
      <c r="H79" s="17"/>
      <c r="I79" s="17"/>
      <c r="J79" s="17"/>
      <c r="K79" s="17"/>
      <c r="L79" s="17"/>
      <c r="M79" s="17"/>
      <c r="N79" s="21"/>
      <c r="O79" s="17"/>
      <c r="P79" s="17"/>
      <c r="Q79" s="17"/>
      <c r="R79" s="8"/>
      <c r="S79" s="17"/>
      <c r="T79" s="17"/>
      <c r="U79" s="19"/>
      <c r="V79" s="19"/>
      <c r="W79" s="18"/>
      <c r="X79" s="34"/>
      <c r="Y79" s="35"/>
      <c r="Z79" s="34"/>
      <c r="AA79" s="34"/>
      <c r="AB79" s="36"/>
      <c r="AC79" s="3"/>
      <c r="AD79" s="37"/>
    </row>
    <row r="80" spans="1:30" x14ac:dyDescent="0.25">
      <c r="A80" s="17"/>
      <c r="B80" s="17"/>
      <c r="C80" s="17"/>
      <c r="D80" s="18"/>
      <c r="E80" s="19"/>
      <c r="F80" s="19"/>
      <c r="G80" s="19"/>
      <c r="H80" s="17"/>
      <c r="I80" s="17"/>
      <c r="J80" s="17"/>
      <c r="K80" s="17"/>
      <c r="L80" s="17"/>
      <c r="M80" s="17"/>
      <c r="N80" s="21"/>
      <c r="O80" s="17"/>
      <c r="P80" s="17"/>
      <c r="Q80" s="17"/>
      <c r="R80" s="8"/>
      <c r="S80" s="17"/>
      <c r="T80" s="17"/>
      <c r="U80" s="19"/>
      <c r="V80" s="19"/>
      <c r="W80" s="17"/>
      <c r="X80" s="38"/>
      <c r="Y80" s="39"/>
      <c r="Z80" s="40"/>
      <c r="AA80" s="40"/>
      <c r="AB80" s="41"/>
      <c r="AC80" s="39"/>
      <c r="AD80" s="3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2026-03-29T14:51:43Z</dcterms:created>
  <dcterms:modified xsi:type="dcterms:W3CDTF">2026-03-29T15:18:23Z</dcterms:modified>
</cp:coreProperties>
</file>